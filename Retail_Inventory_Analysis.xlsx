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192" firstSheet="7" activeTab="8"/>
  </bookViews>
  <sheets>
    <sheet name="highest units sold" sheetId="2" r:id="rId1"/>
    <sheet name="category with highest revenue" sheetId="3" r:id="rId2"/>
    <sheet name="products with hight profit" sheetId="4" r:id="rId3"/>
    <sheet name="category most profitable" sheetId="5" r:id="rId4"/>
    <sheet name="products with low closing stock" sheetId="6" r:id="rId5"/>
    <sheet name="high sales but low stock" sheetId="7" r:id="rId6"/>
    <sheet name="category with great inventory l" sheetId="8" r:id="rId7"/>
    <sheet name="supplier with most products" sheetId="9" r:id="rId8"/>
    <sheet name="dashboard" sheetId="10" r:id="rId9"/>
    <sheet name="Retail Inventory" sheetId="1" r:id="rId10"/>
  </sheets>
  <definedNames>
    <definedName name="_xlnm._FilterDatabase" localSheetId="9" hidden="1">'Retail Inventory'!$A$1:$K$1001</definedName>
  </definedNames>
  <calcPr calcId="162913"/>
  <pivotCaches>
    <pivotCache cacheId="34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2" i="1"/>
</calcChain>
</file>

<file path=xl/sharedStrings.xml><?xml version="1.0" encoding="utf-8"?>
<sst xmlns="http://schemas.openxmlformats.org/spreadsheetml/2006/main" count="5261" uniqueCount="1135">
  <si>
    <t>Product ID</t>
  </si>
  <si>
    <t>Product Name</t>
  </si>
  <si>
    <t>Category</t>
  </si>
  <si>
    <t>Supplier Name</t>
  </si>
  <si>
    <t>Unit Cost</t>
  </si>
  <si>
    <t>Retail Price</t>
  </si>
  <si>
    <t>Opening Stock</t>
  </si>
  <si>
    <t>Units Sold</t>
  </si>
  <si>
    <t>Closing Stock</t>
  </si>
  <si>
    <t>Reorder Point</t>
  </si>
  <si>
    <t>Stock Status</t>
  </si>
  <si>
    <t>PRD-1001</t>
  </si>
  <si>
    <t>Wine Glasses</t>
  </si>
  <si>
    <t>Home &amp; Kitchen</t>
  </si>
  <si>
    <t>Heritage Brands</t>
  </si>
  <si>
    <t>Low Stock</t>
  </si>
  <si>
    <t>PRD-1002</t>
  </si>
  <si>
    <t>Eye Mask</t>
  </si>
  <si>
    <t>Beauty</t>
  </si>
  <si>
    <t>Coastal Trading</t>
  </si>
  <si>
    <t>In Stock</t>
  </si>
  <si>
    <t>PRD-1003</t>
  </si>
  <si>
    <t>Resistance Band</t>
  </si>
  <si>
    <t>Sports &amp; Outdoors</t>
  </si>
  <si>
    <t>National Supply Group</t>
  </si>
  <si>
    <t>PRD-1004</t>
  </si>
  <si>
    <t>Action Figure</t>
  </si>
  <si>
    <t>Toys &amp; Games</t>
  </si>
  <si>
    <t>Pacific Wholesale</t>
  </si>
  <si>
    <t>PRD-1005</t>
  </si>
  <si>
    <t>Serving Tray</t>
  </si>
  <si>
    <t>PRD-1006</t>
  </si>
  <si>
    <t>Dried Fruit</t>
  </si>
  <si>
    <t>Grocery</t>
  </si>
  <si>
    <t>PRD-1007</t>
  </si>
  <si>
    <t>Dish Soap</t>
  </si>
  <si>
    <t>PRD-1008</t>
  </si>
  <si>
    <t>Hiking Socks</t>
  </si>
  <si>
    <t>PRD-1009</t>
  </si>
  <si>
    <t>Summit Wholesale Inc</t>
  </si>
  <si>
    <t>PRD-1010</t>
  </si>
  <si>
    <t>Yoga Block</t>
  </si>
  <si>
    <t>Premier Merchandise</t>
  </si>
  <si>
    <t>PRD-1011</t>
  </si>
  <si>
    <t>Kitchen Towels</t>
  </si>
  <si>
    <t>PRD-1012</t>
  </si>
  <si>
    <t>Sticky Notes</t>
  </si>
  <si>
    <t>Office Supplies</t>
  </si>
  <si>
    <t>AllGoods Supply Co</t>
  </si>
  <si>
    <t>PRD-1013</t>
  </si>
  <si>
    <t>Olive Oil</t>
  </si>
  <si>
    <t>PRD-1014</t>
  </si>
  <si>
    <t>Canvas Belt</t>
  </si>
  <si>
    <t>Clothing</t>
  </si>
  <si>
    <t>United Imports</t>
  </si>
  <si>
    <t>PRD-1015</t>
  </si>
  <si>
    <t>Bike Light</t>
  </si>
  <si>
    <t>PRD-1016</t>
  </si>
  <si>
    <t>Face Wash</t>
  </si>
  <si>
    <t>PRD-1017</t>
  </si>
  <si>
    <t>Desk Organizer</t>
  </si>
  <si>
    <t>PRD-1018</t>
  </si>
  <si>
    <t>Utensil Set</t>
  </si>
  <si>
    <t>PRD-1019</t>
  </si>
  <si>
    <t>Deodorant</t>
  </si>
  <si>
    <t>PRD-1020</t>
  </si>
  <si>
    <t>Dry Shampoo</t>
  </si>
  <si>
    <t>PRD-1021</t>
  </si>
  <si>
    <t>PRD-1022</t>
  </si>
  <si>
    <t>Water Bottle</t>
  </si>
  <si>
    <t>PRD-1023</t>
  </si>
  <si>
    <t>PRD-1024</t>
  </si>
  <si>
    <t>Bubble Kit</t>
  </si>
  <si>
    <t>PRD-1025</t>
  </si>
  <si>
    <t>Golf Tees</t>
  </si>
  <si>
    <t>PRD-1026</t>
  </si>
  <si>
    <t>Coloring Set</t>
  </si>
  <si>
    <t>Global Source Direct</t>
  </si>
  <si>
    <t>PRD-1027</t>
  </si>
  <si>
    <t>Cutting Board</t>
  </si>
  <si>
    <t>PRD-1028</t>
  </si>
  <si>
    <t>Tape Dispenser</t>
  </si>
  <si>
    <t>PRD-1029</t>
  </si>
  <si>
    <t>Stapler</t>
  </si>
  <si>
    <t>PRD-1030</t>
  </si>
  <si>
    <t>Slime Kit</t>
  </si>
  <si>
    <t>PRD-1031</t>
  </si>
  <si>
    <t>HDMI Cable</t>
  </si>
  <si>
    <t>Electronics</t>
  </si>
  <si>
    <t>PRD-1032</t>
  </si>
  <si>
    <t>Bluetooth Adapter</t>
  </si>
  <si>
    <t>PRD-1033</t>
  </si>
  <si>
    <t>Plush Toy</t>
  </si>
  <si>
    <t>PRD-1034</t>
  </si>
  <si>
    <t>Rice Crackers</t>
  </si>
  <si>
    <t>PRD-1035</t>
  </si>
  <si>
    <t>PRD-1036</t>
  </si>
  <si>
    <t>Running Socks</t>
  </si>
  <si>
    <t>PRD-1037</t>
  </si>
  <si>
    <t>Instant Oatmeal</t>
  </si>
  <si>
    <t>Metro Distributors</t>
  </si>
  <si>
    <t>PRD-1038</t>
  </si>
  <si>
    <t>Linen Shorts</t>
  </si>
  <si>
    <t>PRD-1039</t>
  </si>
  <si>
    <t>Green Tea Bags</t>
  </si>
  <si>
    <t>PRD-1040</t>
  </si>
  <si>
    <t>Trail Mix</t>
  </si>
  <si>
    <t>PRD-1041</t>
  </si>
  <si>
    <t>PRD-1042</t>
  </si>
  <si>
    <t>PRD-1043</t>
  </si>
  <si>
    <t>Puzzle 500pc</t>
  </si>
  <si>
    <t>PRD-1044</t>
  </si>
  <si>
    <t>PRD-1045</t>
  </si>
  <si>
    <t>PRD-1046</t>
  </si>
  <si>
    <t>Basic T-Shirt</t>
  </si>
  <si>
    <t>PRD-1047</t>
  </si>
  <si>
    <t>Whistle</t>
  </si>
  <si>
    <t>PRD-1048</t>
  </si>
  <si>
    <t>PRD-1049</t>
  </si>
  <si>
    <t>Canned Soup</t>
  </si>
  <si>
    <t>PRD-1050</t>
  </si>
  <si>
    <t>PRD-1051</t>
  </si>
  <si>
    <t>PRD-1052</t>
  </si>
  <si>
    <t>PRD-1053</t>
  </si>
  <si>
    <t>Screen Protector</t>
  </si>
  <si>
    <t>PRD-1054</t>
  </si>
  <si>
    <t>Swim Cap</t>
  </si>
  <si>
    <t>PRD-1055</t>
  </si>
  <si>
    <t>Polo Shirt</t>
  </si>
  <si>
    <t>PRD-1056</t>
  </si>
  <si>
    <t>PRD-1057</t>
  </si>
  <si>
    <t>Webcam Cover</t>
  </si>
  <si>
    <t>PRD-1058</t>
  </si>
  <si>
    <t>PRD-1059</t>
  </si>
  <si>
    <t>PRD-1060</t>
  </si>
  <si>
    <t>Body Mist</t>
  </si>
  <si>
    <t>PRD-1061</t>
  </si>
  <si>
    <t>PRD-1062</t>
  </si>
  <si>
    <t>PRD-1063</t>
  </si>
  <si>
    <t>PRD-1064</t>
  </si>
  <si>
    <t>PRD-1065</t>
  </si>
  <si>
    <t>File Folders</t>
  </si>
  <si>
    <t>PRD-1066</t>
  </si>
  <si>
    <t>PRD-1067</t>
  </si>
  <si>
    <t>Wireless Earbuds</t>
  </si>
  <si>
    <t>PRD-1068</t>
  </si>
  <si>
    <t>PRD-1069</t>
  </si>
  <si>
    <t>Granola Bars</t>
  </si>
  <si>
    <t>PRD-1070</t>
  </si>
  <si>
    <t>Paper Clips</t>
  </si>
  <si>
    <t>PRD-1071</t>
  </si>
  <si>
    <t>Hoodie</t>
  </si>
  <si>
    <t>PRD-1072</t>
  </si>
  <si>
    <t>Card Deck</t>
  </si>
  <si>
    <t>PRD-1073</t>
  </si>
  <si>
    <t>PRD-1074</t>
  </si>
  <si>
    <t>Highlighters</t>
  </si>
  <si>
    <t>PRD-1075</t>
  </si>
  <si>
    <t>PRD-1076</t>
  </si>
  <si>
    <t>PRD-1077</t>
  </si>
  <si>
    <t>PRD-1078</t>
  </si>
  <si>
    <t>PRD-1079</t>
  </si>
  <si>
    <t>PRD-1080</t>
  </si>
  <si>
    <t>PRD-1081</t>
  </si>
  <si>
    <t>Lip Balm</t>
  </si>
  <si>
    <t>PRD-1082</t>
  </si>
  <si>
    <t>PRD-1083</t>
  </si>
  <si>
    <t>Power Bank</t>
  </si>
  <si>
    <t>PRD-1084</t>
  </si>
  <si>
    <t>Denim Jeans</t>
  </si>
  <si>
    <t>PRD-1085</t>
  </si>
  <si>
    <t>PRD-1086</t>
  </si>
  <si>
    <t>Cotton Pads</t>
  </si>
  <si>
    <t>PRD-1087</t>
  </si>
  <si>
    <t>PRD-1088</t>
  </si>
  <si>
    <t>Smart Plug</t>
  </si>
  <si>
    <t>PRD-1089</t>
  </si>
  <si>
    <t>PRD-1090</t>
  </si>
  <si>
    <t>PRD-1091</t>
  </si>
  <si>
    <t>Baseball Cap</t>
  </si>
  <si>
    <t>PRD-1092</t>
  </si>
  <si>
    <t>PRD-1093</t>
  </si>
  <si>
    <t>PRD-1094</t>
  </si>
  <si>
    <t>Beanie Hat</t>
  </si>
  <si>
    <t>PRD-1095</t>
  </si>
  <si>
    <t>PRD-1096</t>
  </si>
  <si>
    <t>Spice Rack</t>
  </si>
  <si>
    <t>PRD-1097</t>
  </si>
  <si>
    <t>PRD-1098</t>
  </si>
  <si>
    <t>PRD-1099</t>
  </si>
  <si>
    <t>Nail File Set</t>
  </si>
  <si>
    <t>PRD-1100</t>
  </si>
  <si>
    <t>PRD-1101</t>
  </si>
  <si>
    <t>PRD-1102</t>
  </si>
  <si>
    <t>PRD-1103</t>
  </si>
  <si>
    <t>PRD-1104</t>
  </si>
  <si>
    <t>PRD-1105</t>
  </si>
  <si>
    <t>PRD-1106</t>
  </si>
  <si>
    <t>PRD-1107</t>
  </si>
  <si>
    <t>PRD-1108</t>
  </si>
  <si>
    <t>PRD-1109</t>
  </si>
  <si>
    <t>PRD-1110</t>
  </si>
  <si>
    <t>Coffee Mug Set</t>
  </si>
  <si>
    <t>PRD-1111</t>
  </si>
  <si>
    <t>PRD-1112</t>
  </si>
  <si>
    <t>PRD-1113</t>
  </si>
  <si>
    <t>PRD-1114</t>
  </si>
  <si>
    <t>Phone Case</t>
  </si>
  <si>
    <t>PRD-1115</t>
  </si>
  <si>
    <t>PRD-1116</t>
  </si>
  <si>
    <t>PRD-1117</t>
  </si>
  <si>
    <t>PRD-1118</t>
  </si>
  <si>
    <t>PRD-1119</t>
  </si>
  <si>
    <t>PRD-1120</t>
  </si>
  <si>
    <t>PRD-1121</t>
  </si>
  <si>
    <t>PRD-1122</t>
  </si>
  <si>
    <t>Tennis Grip Tape</t>
  </si>
  <si>
    <t>PRD-1123</t>
  </si>
  <si>
    <t>PRD-1124</t>
  </si>
  <si>
    <t>PRD-1125</t>
  </si>
  <si>
    <t>Camp Mug</t>
  </si>
  <si>
    <t>PRD-1126</t>
  </si>
  <si>
    <t>Hair Brush</t>
  </si>
  <si>
    <t>PRD-1127</t>
  </si>
  <si>
    <t>PRD-1128</t>
  </si>
  <si>
    <t>PRD-1129</t>
  </si>
  <si>
    <t>PRD-1130</t>
  </si>
  <si>
    <t>Building Blocks</t>
  </si>
  <si>
    <t>PRD-1131</t>
  </si>
  <si>
    <t>USB Cable</t>
  </si>
  <si>
    <t>PRD-1132</t>
  </si>
  <si>
    <t>PRD-1133</t>
  </si>
  <si>
    <t>PRD-1134</t>
  </si>
  <si>
    <t>PRD-1135</t>
  </si>
  <si>
    <t>PRD-1136</t>
  </si>
  <si>
    <t>PRD-1137</t>
  </si>
  <si>
    <t>PRD-1138</t>
  </si>
  <si>
    <t>Ballpoint Pens</t>
  </si>
  <si>
    <t>PRD-1139</t>
  </si>
  <si>
    <t>PRD-1140</t>
  </si>
  <si>
    <t>PRD-1141</t>
  </si>
  <si>
    <t>PRD-1142</t>
  </si>
  <si>
    <t>PRD-1143</t>
  </si>
  <si>
    <t>PRD-1144</t>
  </si>
  <si>
    <t>PRD-1145</t>
  </si>
  <si>
    <t>PRD-1146</t>
  </si>
  <si>
    <t>Honey Jar</t>
  </si>
  <si>
    <t>PRD-1147</t>
  </si>
  <si>
    <t>Board Game Classic</t>
  </si>
  <si>
    <t>PRD-1148</t>
  </si>
  <si>
    <t>PRD-1149</t>
  </si>
  <si>
    <t>Storage Container</t>
  </si>
  <si>
    <t>PRD-1150</t>
  </si>
  <si>
    <t>PRD-1151</t>
  </si>
  <si>
    <t>PRD-1152</t>
  </si>
  <si>
    <t>PRD-1153</t>
  </si>
  <si>
    <t>PRD-1154</t>
  </si>
  <si>
    <t>PRD-1155</t>
  </si>
  <si>
    <t>PRD-1156</t>
  </si>
  <si>
    <t>Zip Jacket</t>
  </si>
  <si>
    <t>PRD-1157</t>
  </si>
  <si>
    <t>PRD-1158</t>
  </si>
  <si>
    <t>PRD-1159</t>
  </si>
  <si>
    <t>PRD-1160</t>
  </si>
  <si>
    <t>PRD-1161</t>
  </si>
  <si>
    <t>PRD-1162</t>
  </si>
  <si>
    <t>PRD-1163</t>
  </si>
  <si>
    <t>PRD-1164</t>
  </si>
  <si>
    <t>PRD-1165</t>
  </si>
  <si>
    <t>PRD-1166</t>
  </si>
  <si>
    <t>PRD-1167</t>
  </si>
  <si>
    <t>PRD-1168</t>
  </si>
  <si>
    <t>Binder Clips</t>
  </si>
  <si>
    <t>PRD-1169</t>
  </si>
  <si>
    <t>PRD-1170</t>
  </si>
  <si>
    <t>PRD-1171</t>
  </si>
  <si>
    <t>PRD-1172</t>
  </si>
  <si>
    <t>PRD-1173</t>
  </si>
  <si>
    <t>PRD-1174</t>
  </si>
  <si>
    <t>PRD-1175</t>
  </si>
  <si>
    <t>PRD-1176</t>
  </si>
  <si>
    <t>PRD-1177</t>
  </si>
  <si>
    <t>PRD-1178</t>
  </si>
  <si>
    <t>PRD-1179</t>
  </si>
  <si>
    <t>PRD-1180</t>
  </si>
  <si>
    <t>PRD-1181</t>
  </si>
  <si>
    <t>PRD-1182</t>
  </si>
  <si>
    <t>PRD-1183</t>
  </si>
  <si>
    <t>PRD-1184</t>
  </si>
  <si>
    <t>PRD-1185</t>
  </si>
  <si>
    <t>PRD-1186</t>
  </si>
  <si>
    <t>PRD-1187</t>
  </si>
  <si>
    <t>PRD-1188</t>
  </si>
  <si>
    <t>PRD-1189</t>
  </si>
  <si>
    <t>PRD-1190</t>
  </si>
  <si>
    <t>PRD-1191</t>
  </si>
  <si>
    <t>PRD-1192</t>
  </si>
  <si>
    <t>PRD-1193</t>
  </si>
  <si>
    <t>PRD-1194</t>
  </si>
  <si>
    <t>Baking Sheet</t>
  </si>
  <si>
    <t>PRD-1195</t>
  </si>
  <si>
    <t>PRD-1196</t>
  </si>
  <si>
    <t>PRD-1197</t>
  </si>
  <si>
    <t>PRD-1198</t>
  </si>
  <si>
    <t>PRD-1199</t>
  </si>
  <si>
    <t>PRD-1200</t>
  </si>
  <si>
    <t>PRD-1201</t>
  </si>
  <si>
    <t>PRD-1202</t>
  </si>
  <si>
    <t>PRD-1203</t>
  </si>
  <si>
    <t>PRD-1204</t>
  </si>
  <si>
    <t>PRD-1205</t>
  </si>
  <si>
    <t>PRD-1206</t>
  </si>
  <si>
    <t>PRD-1207</t>
  </si>
  <si>
    <t>PRD-1208</t>
  </si>
  <si>
    <t>PRD-1209</t>
  </si>
  <si>
    <t>PRD-1210</t>
  </si>
  <si>
    <t>PRD-1211</t>
  </si>
  <si>
    <t>PRD-1212</t>
  </si>
  <si>
    <t>PRD-1213</t>
  </si>
  <si>
    <t>PRD-1214</t>
  </si>
  <si>
    <t>PRD-1215</t>
  </si>
  <si>
    <t>PRD-1216</t>
  </si>
  <si>
    <t>PRD-1217</t>
  </si>
  <si>
    <t>Yo-Yo</t>
  </si>
  <si>
    <t>PRD-1218</t>
  </si>
  <si>
    <t>PRD-1219</t>
  </si>
  <si>
    <t>PRD-1220</t>
  </si>
  <si>
    <t>PRD-1221</t>
  </si>
  <si>
    <t>PRD-1222</t>
  </si>
  <si>
    <t>PRD-1223</t>
  </si>
  <si>
    <t>PRD-1224</t>
  </si>
  <si>
    <t>PRD-1225</t>
  </si>
  <si>
    <t>PRD-1226</t>
  </si>
  <si>
    <t>PRD-1227</t>
  </si>
  <si>
    <t>PRD-1228</t>
  </si>
  <si>
    <t>PRD-1229</t>
  </si>
  <si>
    <t>PRD-1230</t>
  </si>
  <si>
    <t>PRD-1231</t>
  </si>
  <si>
    <t>PRD-1232</t>
  </si>
  <si>
    <t>PRD-1233</t>
  </si>
  <si>
    <t>PRD-1234</t>
  </si>
  <si>
    <t>PRD-1235</t>
  </si>
  <si>
    <t>PRD-1236</t>
  </si>
  <si>
    <t>PRD-1237</t>
  </si>
  <si>
    <t>PRD-1238</t>
  </si>
  <si>
    <t>PRD-1239</t>
  </si>
  <si>
    <t>PRD-1240</t>
  </si>
  <si>
    <t>PRD-1241</t>
  </si>
  <si>
    <t>PRD-1242</t>
  </si>
  <si>
    <t>PRD-1243</t>
  </si>
  <si>
    <t>PRD-1244</t>
  </si>
  <si>
    <t>Notebook A5</t>
  </si>
  <si>
    <t>PRD-1245</t>
  </si>
  <si>
    <t>PRD-1246</t>
  </si>
  <si>
    <t>PRD-1247</t>
  </si>
  <si>
    <t>PRD-1248</t>
  </si>
  <si>
    <t>PRD-1249</t>
  </si>
  <si>
    <t>PRD-1250</t>
  </si>
  <si>
    <t>PRD-1251</t>
  </si>
  <si>
    <t>PRD-1252</t>
  </si>
  <si>
    <t>PRD-1253</t>
  </si>
  <si>
    <t>PRD-1254</t>
  </si>
  <si>
    <t>PRD-1255</t>
  </si>
  <si>
    <t>PRD-1256</t>
  </si>
  <si>
    <t>PRD-1257</t>
  </si>
  <si>
    <t>PRD-1258</t>
  </si>
  <si>
    <t>PRD-1259</t>
  </si>
  <si>
    <t>PRD-1260</t>
  </si>
  <si>
    <t>PRD-1261</t>
  </si>
  <si>
    <t>PRD-1262</t>
  </si>
  <si>
    <t>PRD-1263</t>
  </si>
  <si>
    <t>PRD-1264</t>
  </si>
  <si>
    <t>PRD-1265</t>
  </si>
  <si>
    <t>PRD-1266</t>
  </si>
  <si>
    <t>PRD-1267</t>
  </si>
  <si>
    <t>PRD-1268</t>
  </si>
  <si>
    <t>PRD-1269</t>
  </si>
  <si>
    <t>PRD-1270</t>
  </si>
  <si>
    <t>PRD-1271</t>
  </si>
  <si>
    <t>PRD-1272</t>
  </si>
  <si>
    <t>PRD-1273</t>
  </si>
  <si>
    <t>PRD-1274</t>
  </si>
  <si>
    <t>PRD-1275</t>
  </si>
  <si>
    <t>PRD-1276</t>
  </si>
  <si>
    <t>PRD-1277</t>
  </si>
  <si>
    <t>PRD-1278</t>
  </si>
  <si>
    <t>PRD-1279</t>
  </si>
  <si>
    <t>LED Desk Lamp</t>
  </si>
  <si>
    <t>PRD-1280</t>
  </si>
  <si>
    <t>PRD-1281</t>
  </si>
  <si>
    <t>PRD-1282</t>
  </si>
  <si>
    <t>PRD-1283</t>
  </si>
  <si>
    <t>PRD-1284</t>
  </si>
  <si>
    <t>PRD-1285</t>
  </si>
  <si>
    <t>PRD-1286</t>
  </si>
  <si>
    <t>PRD-1287</t>
  </si>
  <si>
    <t>PRD-1288</t>
  </si>
  <si>
    <t>PRD-1289</t>
  </si>
  <si>
    <t>PRD-1290</t>
  </si>
  <si>
    <t>PRD-1291</t>
  </si>
  <si>
    <t>PRD-1292</t>
  </si>
  <si>
    <t>PRD-1293</t>
  </si>
  <si>
    <t>PRD-1294</t>
  </si>
  <si>
    <t>PRD-1295</t>
  </si>
  <si>
    <t>PRD-1296</t>
  </si>
  <si>
    <t>PRD-1297</t>
  </si>
  <si>
    <t>Hand Cream</t>
  </si>
  <si>
    <t>PRD-1298</t>
  </si>
  <si>
    <t>PRD-1299</t>
  </si>
  <si>
    <t>PRD-1300</t>
  </si>
  <si>
    <t>PRD-1301</t>
  </si>
  <si>
    <t>PRD-1302</t>
  </si>
  <si>
    <t>PRD-1303</t>
  </si>
  <si>
    <t>PRD-1304</t>
  </si>
  <si>
    <t>PRD-1305</t>
  </si>
  <si>
    <t>PRD-1306</t>
  </si>
  <si>
    <t>PRD-1307</t>
  </si>
  <si>
    <t>PRD-1308</t>
  </si>
  <si>
    <t>PRD-1309</t>
  </si>
  <si>
    <t>PRD-1310</t>
  </si>
  <si>
    <t>PRD-1311</t>
  </si>
  <si>
    <t>Pasta Sauce</t>
  </si>
  <si>
    <t>PRD-1312</t>
  </si>
  <si>
    <t>PRD-1313</t>
  </si>
  <si>
    <t>PRD-1314</t>
  </si>
  <si>
    <t>PRD-1315</t>
  </si>
  <si>
    <t>PRD-1316</t>
  </si>
  <si>
    <t>PRD-1317</t>
  </si>
  <si>
    <t>PRD-1318</t>
  </si>
  <si>
    <t>PRD-1319</t>
  </si>
  <si>
    <t>PRD-1320</t>
  </si>
  <si>
    <t>PRD-1321</t>
  </si>
  <si>
    <t>PRD-1322</t>
  </si>
  <si>
    <t>PRD-1323</t>
  </si>
  <si>
    <t>PRD-1324</t>
  </si>
  <si>
    <t>PRD-1325</t>
  </si>
  <si>
    <t>PRD-1326</t>
  </si>
  <si>
    <t>PRD-1327</t>
  </si>
  <si>
    <t>PRD-1328</t>
  </si>
  <si>
    <t>PRD-1329</t>
  </si>
  <si>
    <t>PRD-1330</t>
  </si>
  <si>
    <t>PRD-1331</t>
  </si>
  <si>
    <t>PRD-1332</t>
  </si>
  <si>
    <t>PRD-1333</t>
  </si>
  <si>
    <t>PRD-1334</t>
  </si>
  <si>
    <t>PRD-1335</t>
  </si>
  <si>
    <t>PRD-1336</t>
  </si>
  <si>
    <t>PRD-1337</t>
  </si>
  <si>
    <t>PRD-1338</t>
  </si>
  <si>
    <t>PRD-1339</t>
  </si>
  <si>
    <t>PRD-1340</t>
  </si>
  <si>
    <t>PRD-1341</t>
  </si>
  <si>
    <t>PRD-1342</t>
  </si>
  <si>
    <t>PRD-1343</t>
  </si>
  <si>
    <t>PRD-1344</t>
  </si>
  <si>
    <t>PRD-1345</t>
  </si>
  <si>
    <t>PRD-1346</t>
  </si>
  <si>
    <t>PRD-1347</t>
  </si>
  <si>
    <t>PRD-1348</t>
  </si>
  <si>
    <t>PRD-1349</t>
  </si>
  <si>
    <t>PRD-1350</t>
  </si>
  <si>
    <t>PRD-1351</t>
  </si>
  <si>
    <t>PRD-1352</t>
  </si>
  <si>
    <t>PRD-1353</t>
  </si>
  <si>
    <t>PRD-1354</t>
  </si>
  <si>
    <t>PRD-1355</t>
  </si>
  <si>
    <t>PRD-1356</t>
  </si>
  <si>
    <t>PRD-1357</t>
  </si>
  <si>
    <t>PRD-1358</t>
  </si>
  <si>
    <t>PRD-1359</t>
  </si>
  <si>
    <t>PRD-1360</t>
  </si>
  <si>
    <t>PRD-1361</t>
  </si>
  <si>
    <t>PRD-1362</t>
  </si>
  <si>
    <t>PRD-1363</t>
  </si>
  <si>
    <t>PRD-1364</t>
  </si>
  <si>
    <t>PRD-1365</t>
  </si>
  <si>
    <t>PRD-1366</t>
  </si>
  <si>
    <t>PRD-1367</t>
  </si>
  <si>
    <t>PRD-1368</t>
  </si>
  <si>
    <t>PRD-1369</t>
  </si>
  <si>
    <t>PRD-1370</t>
  </si>
  <si>
    <t>PRD-1371</t>
  </si>
  <si>
    <t>PRD-1372</t>
  </si>
  <si>
    <t>PRD-1373</t>
  </si>
  <si>
    <t>PRD-1374</t>
  </si>
  <si>
    <t>PRD-1375</t>
  </si>
  <si>
    <t>PRD-1376</t>
  </si>
  <si>
    <t>PRD-1377</t>
  </si>
  <si>
    <t>PRD-1378</t>
  </si>
  <si>
    <t>PRD-1379</t>
  </si>
  <si>
    <t>PRD-1380</t>
  </si>
  <si>
    <t>PRD-1381</t>
  </si>
  <si>
    <t>PRD-1382</t>
  </si>
  <si>
    <t>PRD-1383</t>
  </si>
  <si>
    <t>PRD-1384</t>
  </si>
  <si>
    <t>PRD-1385</t>
  </si>
  <si>
    <t>PRD-1386</t>
  </si>
  <si>
    <t>PRD-1387</t>
  </si>
  <si>
    <t>PRD-1388</t>
  </si>
  <si>
    <t>PRD-1389</t>
  </si>
  <si>
    <t>PRD-1390</t>
  </si>
  <si>
    <t>PRD-1391</t>
  </si>
  <si>
    <t>PRD-1392</t>
  </si>
  <si>
    <t>PRD-1393</t>
  </si>
  <si>
    <t>PRD-1394</t>
  </si>
  <si>
    <t>PRD-1395</t>
  </si>
  <si>
    <t>PRD-1396</t>
  </si>
  <si>
    <t>PRD-1397</t>
  </si>
  <si>
    <t>PRD-1398</t>
  </si>
  <si>
    <t>PRD-1399</t>
  </si>
  <si>
    <t>PRD-1400</t>
  </si>
  <si>
    <t>PRD-1401</t>
  </si>
  <si>
    <t>PRD-1402</t>
  </si>
  <si>
    <t>PRD-1403</t>
  </si>
  <si>
    <t>PRD-1404</t>
  </si>
  <si>
    <t>PRD-1405</t>
  </si>
  <si>
    <t>PRD-1406</t>
  </si>
  <si>
    <t>PRD-1407</t>
  </si>
  <si>
    <t>PRD-1408</t>
  </si>
  <si>
    <t>PRD-1409</t>
  </si>
  <si>
    <t>PRD-1410</t>
  </si>
  <si>
    <t>PRD-1411</t>
  </si>
  <si>
    <t>PRD-1412</t>
  </si>
  <si>
    <t>PRD-1413</t>
  </si>
  <si>
    <t>PRD-1414</t>
  </si>
  <si>
    <t>PRD-1415</t>
  </si>
  <si>
    <t>PRD-1416</t>
  </si>
  <si>
    <t>PRD-1417</t>
  </si>
  <si>
    <t>PRD-1418</t>
  </si>
  <si>
    <t>PRD-1419</t>
  </si>
  <si>
    <t>PRD-1420</t>
  </si>
  <si>
    <t>PRD-1421</t>
  </si>
  <si>
    <t>PRD-1422</t>
  </si>
  <si>
    <t>PRD-1423</t>
  </si>
  <si>
    <t>PRD-1424</t>
  </si>
  <si>
    <t>PRD-1425</t>
  </si>
  <si>
    <t>PRD-1426</t>
  </si>
  <si>
    <t>PRD-1427</t>
  </si>
  <si>
    <t>PRD-1428</t>
  </si>
  <si>
    <t>PRD-1429</t>
  </si>
  <si>
    <t>PRD-1430</t>
  </si>
  <si>
    <t>PRD-1431</t>
  </si>
  <si>
    <t>PRD-1432</t>
  </si>
  <si>
    <t>PRD-1433</t>
  </si>
  <si>
    <t>PRD-1434</t>
  </si>
  <si>
    <t>PRD-1435</t>
  </si>
  <si>
    <t>PRD-1436</t>
  </si>
  <si>
    <t>PRD-1437</t>
  </si>
  <si>
    <t>PRD-1438</t>
  </si>
  <si>
    <t>PRD-1439</t>
  </si>
  <si>
    <t>PRD-1440</t>
  </si>
  <si>
    <t>PRD-1441</t>
  </si>
  <si>
    <t>PRD-1442</t>
  </si>
  <si>
    <t>PRD-1443</t>
  </si>
  <si>
    <t>PRD-1444</t>
  </si>
  <si>
    <t>PRD-1445</t>
  </si>
  <si>
    <t>PRD-1446</t>
  </si>
  <si>
    <t>PRD-1447</t>
  </si>
  <si>
    <t>PRD-1448</t>
  </si>
  <si>
    <t>PRD-1449</t>
  </si>
  <si>
    <t>PRD-1450</t>
  </si>
  <si>
    <t>PRD-1451</t>
  </si>
  <si>
    <t>PRD-1452</t>
  </si>
  <si>
    <t>PRD-1453</t>
  </si>
  <si>
    <t>PRD-1454</t>
  </si>
  <si>
    <t>PRD-1455</t>
  </si>
  <si>
    <t>PRD-1456</t>
  </si>
  <si>
    <t>PRD-1457</t>
  </si>
  <si>
    <t>PRD-1458</t>
  </si>
  <si>
    <t>PRD-1459</t>
  </si>
  <si>
    <t>PRD-1460</t>
  </si>
  <si>
    <t>PRD-1461</t>
  </si>
  <si>
    <t>PRD-1462</t>
  </si>
  <si>
    <t>PRD-1463</t>
  </si>
  <si>
    <t>PRD-1464</t>
  </si>
  <si>
    <t>PRD-1465</t>
  </si>
  <si>
    <t>PRD-1466</t>
  </si>
  <si>
    <t>PRD-1467</t>
  </si>
  <si>
    <t>PRD-1468</t>
  </si>
  <si>
    <t>PRD-1469</t>
  </si>
  <si>
    <t>PRD-1470</t>
  </si>
  <si>
    <t>PRD-1471</t>
  </si>
  <si>
    <t>PRD-1472</t>
  </si>
  <si>
    <t>PRD-1473</t>
  </si>
  <si>
    <t>PRD-1474</t>
  </si>
  <si>
    <t>PRD-1475</t>
  </si>
  <si>
    <t>PRD-1476</t>
  </si>
  <si>
    <t>PRD-1477</t>
  </si>
  <si>
    <t>PRD-1478</t>
  </si>
  <si>
    <t>PRD-1479</t>
  </si>
  <si>
    <t>PRD-1480</t>
  </si>
  <si>
    <t>PRD-1481</t>
  </si>
  <si>
    <t>PRD-1482</t>
  </si>
  <si>
    <t>PRD-1483</t>
  </si>
  <si>
    <t>PRD-1484</t>
  </si>
  <si>
    <t>PRD-1485</t>
  </si>
  <si>
    <t>PRD-1486</t>
  </si>
  <si>
    <t>PRD-1487</t>
  </si>
  <si>
    <t>PRD-1488</t>
  </si>
  <si>
    <t>PRD-1489</t>
  </si>
  <si>
    <t>PRD-1490</t>
  </si>
  <si>
    <t>PRD-1491</t>
  </si>
  <si>
    <t>PRD-1492</t>
  </si>
  <si>
    <t>PRD-1493</t>
  </si>
  <si>
    <t>PRD-1494</t>
  </si>
  <si>
    <t>PRD-1495</t>
  </si>
  <si>
    <t>PRD-1496</t>
  </si>
  <si>
    <t>PRD-1497</t>
  </si>
  <si>
    <t>PRD-1498</t>
  </si>
  <si>
    <t>PRD-1499</t>
  </si>
  <si>
    <t>PRD-1500</t>
  </si>
  <si>
    <t>PRD-1501</t>
  </si>
  <si>
    <t>PRD-1502</t>
  </si>
  <si>
    <t>PRD-1503</t>
  </si>
  <si>
    <t>PRD-1504</t>
  </si>
  <si>
    <t>PRD-1505</t>
  </si>
  <si>
    <t>PRD-1506</t>
  </si>
  <si>
    <t>PRD-1507</t>
  </si>
  <si>
    <t>PRD-1508</t>
  </si>
  <si>
    <t>PRD-1509</t>
  </si>
  <si>
    <t>PRD-1510</t>
  </si>
  <si>
    <t>PRD-1511</t>
  </si>
  <si>
    <t>PRD-1512</t>
  </si>
  <si>
    <t>PRD-1513</t>
  </si>
  <si>
    <t>PRD-1514</t>
  </si>
  <si>
    <t>PRD-1515</t>
  </si>
  <si>
    <t>PRD-1516</t>
  </si>
  <si>
    <t>PRD-1517</t>
  </si>
  <si>
    <t>PRD-1518</t>
  </si>
  <si>
    <t>PRD-1519</t>
  </si>
  <si>
    <t>PRD-1520</t>
  </si>
  <si>
    <t>PRD-1521</t>
  </si>
  <si>
    <t>PRD-1522</t>
  </si>
  <si>
    <t>PRD-1523</t>
  </si>
  <si>
    <t>PRD-1524</t>
  </si>
  <si>
    <t>PRD-1525</t>
  </si>
  <si>
    <t>PRD-1526</t>
  </si>
  <si>
    <t>PRD-1527</t>
  </si>
  <si>
    <t>PRD-1528</t>
  </si>
  <si>
    <t>PRD-1529</t>
  </si>
  <si>
    <t>PRD-1530</t>
  </si>
  <si>
    <t>PRD-1531</t>
  </si>
  <si>
    <t>PRD-1532</t>
  </si>
  <si>
    <t>PRD-1533</t>
  </si>
  <si>
    <t>PRD-1534</t>
  </si>
  <si>
    <t>PRD-1535</t>
  </si>
  <si>
    <t>PRD-1536</t>
  </si>
  <si>
    <t>PRD-1537</t>
  </si>
  <si>
    <t>PRD-1538</t>
  </si>
  <si>
    <t>PRD-1539</t>
  </si>
  <si>
    <t>PRD-1540</t>
  </si>
  <si>
    <t>PRD-1541</t>
  </si>
  <si>
    <t>PRD-1542</t>
  </si>
  <si>
    <t>PRD-1543</t>
  </si>
  <si>
    <t>PRD-1544</t>
  </si>
  <si>
    <t>PRD-1545</t>
  </si>
  <si>
    <t>PRD-1546</t>
  </si>
  <si>
    <t>PRD-1547</t>
  </si>
  <si>
    <t>PRD-1548</t>
  </si>
  <si>
    <t>PRD-1549</t>
  </si>
  <si>
    <t>PRD-1550</t>
  </si>
  <si>
    <t>PRD-1551</t>
  </si>
  <si>
    <t>PRD-1552</t>
  </si>
  <si>
    <t>PRD-1553</t>
  </si>
  <si>
    <t>PRD-1554</t>
  </si>
  <si>
    <t>PRD-1555</t>
  </si>
  <si>
    <t>PRD-1556</t>
  </si>
  <si>
    <t>PRD-1557</t>
  </si>
  <si>
    <t>PRD-1558</t>
  </si>
  <si>
    <t>PRD-1559</t>
  </si>
  <si>
    <t>PRD-1560</t>
  </si>
  <si>
    <t>PRD-1561</t>
  </si>
  <si>
    <t>PRD-1562</t>
  </si>
  <si>
    <t>PRD-1563</t>
  </si>
  <si>
    <t>PRD-1564</t>
  </si>
  <si>
    <t>PRD-1565</t>
  </si>
  <si>
    <t>PRD-1566</t>
  </si>
  <si>
    <t>PRD-1567</t>
  </si>
  <si>
    <t>PRD-1568</t>
  </si>
  <si>
    <t>PRD-1569</t>
  </si>
  <si>
    <t>PRD-1570</t>
  </si>
  <si>
    <t>PRD-1571</t>
  </si>
  <si>
    <t>PRD-1572</t>
  </si>
  <si>
    <t>PRD-1573</t>
  </si>
  <si>
    <t>PRD-1574</t>
  </si>
  <si>
    <t>PRD-1575</t>
  </si>
  <si>
    <t>PRD-1576</t>
  </si>
  <si>
    <t>PRD-1577</t>
  </si>
  <si>
    <t>PRD-1578</t>
  </si>
  <si>
    <t>PRD-1579</t>
  </si>
  <si>
    <t>PRD-1580</t>
  </si>
  <si>
    <t>PRD-1581</t>
  </si>
  <si>
    <t>PRD-1582</t>
  </si>
  <si>
    <t>PRD-1583</t>
  </si>
  <si>
    <t>PRD-1584</t>
  </si>
  <si>
    <t>PRD-1585</t>
  </si>
  <si>
    <t>PRD-1586</t>
  </si>
  <si>
    <t>PRD-1587</t>
  </si>
  <si>
    <t>PRD-1588</t>
  </si>
  <si>
    <t>PRD-1589</t>
  </si>
  <si>
    <t>PRD-1590</t>
  </si>
  <si>
    <t>PRD-1591</t>
  </si>
  <si>
    <t>PRD-1592</t>
  </si>
  <si>
    <t>PRD-1593</t>
  </si>
  <si>
    <t>PRD-1594</t>
  </si>
  <si>
    <t>PRD-1595</t>
  </si>
  <si>
    <t>PRD-1596</t>
  </si>
  <si>
    <t>PRD-1597</t>
  </si>
  <si>
    <t>PRD-1598</t>
  </si>
  <si>
    <t>PRD-1599</t>
  </si>
  <si>
    <t>PRD-1600</t>
  </si>
  <si>
    <t>PRD-1601</t>
  </si>
  <si>
    <t>PRD-1602</t>
  </si>
  <si>
    <t>PRD-1603</t>
  </si>
  <si>
    <t>PRD-1604</t>
  </si>
  <si>
    <t>PRD-1605</t>
  </si>
  <si>
    <t>PRD-1606</t>
  </si>
  <si>
    <t>PRD-1607</t>
  </si>
  <si>
    <t>PRD-1608</t>
  </si>
  <si>
    <t>PRD-1609</t>
  </si>
  <si>
    <t>PRD-1610</t>
  </si>
  <si>
    <t>PRD-1611</t>
  </si>
  <si>
    <t>PRD-1612</t>
  </si>
  <si>
    <t>PRD-1613</t>
  </si>
  <si>
    <t>PRD-1614</t>
  </si>
  <si>
    <t>PRD-1615</t>
  </si>
  <si>
    <t>PRD-1616</t>
  </si>
  <si>
    <t>PRD-1617</t>
  </si>
  <si>
    <t>PRD-1618</t>
  </si>
  <si>
    <t>PRD-1619</t>
  </si>
  <si>
    <t>PRD-1620</t>
  </si>
  <si>
    <t>PRD-1621</t>
  </si>
  <si>
    <t>PRD-1622</t>
  </si>
  <si>
    <t>PRD-1623</t>
  </si>
  <si>
    <t>PRD-1624</t>
  </si>
  <si>
    <t>PRD-1625</t>
  </si>
  <si>
    <t>PRD-1626</t>
  </si>
  <si>
    <t>PRD-1627</t>
  </si>
  <si>
    <t>PRD-1628</t>
  </si>
  <si>
    <t>PRD-1629</t>
  </si>
  <si>
    <t>PRD-1630</t>
  </si>
  <si>
    <t>PRD-1631</t>
  </si>
  <si>
    <t>PRD-1632</t>
  </si>
  <si>
    <t>PRD-1633</t>
  </si>
  <si>
    <t>PRD-1634</t>
  </si>
  <si>
    <t>PRD-1635</t>
  </si>
  <si>
    <t>PRD-1636</t>
  </si>
  <si>
    <t>PRD-1637</t>
  </si>
  <si>
    <t>PRD-1638</t>
  </si>
  <si>
    <t>PRD-1639</t>
  </si>
  <si>
    <t>PRD-1640</t>
  </si>
  <si>
    <t>PRD-1641</t>
  </si>
  <si>
    <t>PRD-1642</t>
  </si>
  <si>
    <t>PRD-1643</t>
  </si>
  <si>
    <t>PRD-1644</t>
  </si>
  <si>
    <t>PRD-1645</t>
  </si>
  <si>
    <t>PRD-1646</t>
  </si>
  <si>
    <t>PRD-1647</t>
  </si>
  <si>
    <t>PRD-1648</t>
  </si>
  <si>
    <t>PRD-1649</t>
  </si>
  <si>
    <t>PRD-1650</t>
  </si>
  <si>
    <t>PRD-1651</t>
  </si>
  <si>
    <t>PRD-1652</t>
  </si>
  <si>
    <t>PRD-1653</t>
  </si>
  <si>
    <t>PRD-1654</t>
  </si>
  <si>
    <t>PRD-1655</t>
  </si>
  <si>
    <t>PRD-1656</t>
  </si>
  <si>
    <t>PRD-1657</t>
  </si>
  <si>
    <t>PRD-1658</t>
  </si>
  <si>
    <t>PRD-1659</t>
  </si>
  <si>
    <t>PRD-1660</t>
  </si>
  <si>
    <t>PRD-1661</t>
  </si>
  <si>
    <t>PRD-1662</t>
  </si>
  <si>
    <t>PRD-1663</t>
  </si>
  <si>
    <t>PRD-1664</t>
  </si>
  <si>
    <t>PRD-1665</t>
  </si>
  <si>
    <t>PRD-1666</t>
  </si>
  <si>
    <t>PRD-1667</t>
  </si>
  <si>
    <t>PRD-1668</t>
  </si>
  <si>
    <t>PRD-1669</t>
  </si>
  <si>
    <t>PRD-1670</t>
  </si>
  <si>
    <t>PRD-1671</t>
  </si>
  <si>
    <t>PRD-1672</t>
  </si>
  <si>
    <t>PRD-1673</t>
  </si>
  <si>
    <t>PRD-1674</t>
  </si>
  <si>
    <t>PRD-1675</t>
  </si>
  <si>
    <t>PRD-1676</t>
  </si>
  <si>
    <t>PRD-1677</t>
  </si>
  <si>
    <t>PRD-1678</t>
  </si>
  <si>
    <t>PRD-1679</t>
  </si>
  <si>
    <t>PRD-1680</t>
  </si>
  <si>
    <t>PRD-1681</t>
  </si>
  <si>
    <t>PRD-1682</t>
  </si>
  <si>
    <t>PRD-1683</t>
  </si>
  <si>
    <t>PRD-1684</t>
  </si>
  <si>
    <t>PRD-1685</t>
  </si>
  <si>
    <t>PRD-1686</t>
  </si>
  <si>
    <t>PRD-1687</t>
  </si>
  <si>
    <t>PRD-1688</t>
  </si>
  <si>
    <t>PRD-1689</t>
  </si>
  <si>
    <t>PRD-1690</t>
  </si>
  <si>
    <t>PRD-1691</t>
  </si>
  <si>
    <t>PRD-1692</t>
  </si>
  <si>
    <t>PRD-1693</t>
  </si>
  <si>
    <t>PRD-1694</t>
  </si>
  <si>
    <t>PRD-1695</t>
  </si>
  <si>
    <t>PRD-1696</t>
  </si>
  <si>
    <t>PRD-1697</t>
  </si>
  <si>
    <t>PRD-1698</t>
  </si>
  <si>
    <t>PRD-1699</t>
  </si>
  <si>
    <t>PRD-1700</t>
  </si>
  <si>
    <t>PRD-1701</t>
  </si>
  <si>
    <t>PRD-1702</t>
  </si>
  <si>
    <t>PRD-1703</t>
  </si>
  <si>
    <t>PRD-1704</t>
  </si>
  <si>
    <t>PRD-1705</t>
  </si>
  <si>
    <t>PRD-1706</t>
  </si>
  <si>
    <t>PRD-1707</t>
  </si>
  <si>
    <t>PRD-1708</t>
  </si>
  <si>
    <t>PRD-1709</t>
  </si>
  <si>
    <t>PRD-1710</t>
  </si>
  <si>
    <t>PRD-1711</t>
  </si>
  <si>
    <t>PRD-1712</t>
  </si>
  <si>
    <t>PRD-1713</t>
  </si>
  <si>
    <t>PRD-1714</t>
  </si>
  <si>
    <t>PRD-1715</t>
  </si>
  <si>
    <t>PRD-1716</t>
  </si>
  <si>
    <t>PRD-1717</t>
  </si>
  <si>
    <t>PRD-1718</t>
  </si>
  <si>
    <t>PRD-1719</t>
  </si>
  <si>
    <t>PRD-1720</t>
  </si>
  <si>
    <t>PRD-1721</t>
  </si>
  <si>
    <t>PRD-1722</t>
  </si>
  <si>
    <t>PRD-1723</t>
  </si>
  <si>
    <t>PRD-1724</t>
  </si>
  <si>
    <t>PRD-1725</t>
  </si>
  <si>
    <t>PRD-1726</t>
  </si>
  <si>
    <t>PRD-1727</t>
  </si>
  <si>
    <t>PRD-1728</t>
  </si>
  <si>
    <t>PRD-1729</t>
  </si>
  <si>
    <t>PRD-1730</t>
  </si>
  <si>
    <t>PRD-1731</t>
  </si>
  <si>
    <t>PRD-1732</t>
  </si>
  <si>
    <t>PRD-1733</t>
  </si>
  <si>
    <t>PRD-1734</t>
  </si>
  <si>
    <t>PRD-1735</t>
  </si>
  <si>
    <t>PRD-1736</t>
  </si>
  <si>
    <t>PRD-1737</t>
  </si>
  <si>
    <t>PRD-1738</t>
  </si>
  <si>
    <t>PRD-1739</t>
  </si>
  <si>
    <t>PRD-1740</t>
  </si>
  <si>
    <t>PRD-1741</t>
  </si>
  <si>
    <t>PRD-1742</t>
  </si>
  <si>
    <t>PRD-1743</t>
  </si>
  <si>
    <t>PRD-1744</t>
  </si>
  <si>
    <t>PRD-1745</t>
  </si>
  <si>
    <t>PRD-1746</t>
  </si>
  <si>
    <t>PRD-1747</t>
  </si>
  <si>
    <t>PRD-1748</t>
  </si>
  <si>
    <t>PRD-1749</t>
  </si>
  <si>
    <t>PRD-1750</t>
  </si>
  <si>
    <t>PRD-1751</t>
  </si>
  <si>
    <t>PRD-1752</t>
  </si>
  <si>
    <t>PRD-1753</t>
  </si>
  <si>
    <t>PRD-1754</t>
  </si>
  <si>
    <t>PRD-1755</t>
  </si>
  <si>
    <t>PRD-1756</t>
  </si>
  <si>
    <t>PRD-1757</t>
  </si>
  <si>
    <t>PRD-1758</t>
  </si>
  <si>
    <t>PRD-1759</t>
  </si>
  <si>
    <t>PRD-1760</t>
  </si>
  <si>
    <t>PRD-1761</t>
  </si>
  <si>
    <t>PRD-1762</t>
  </si>
  <si>
    <t>PRD-1763</t>
  </si>
  <si>
    <t>PRD-1764</t>
  </si>
  <si>
    <t>PRD-1765</t>
  </si>
  <si>
    <t>PRD-1766</t>
  </si>
  <si>
    <t>PRD-1767</t>
  </si>
  <si>
    <t>PRD-1768</t>
  </si>
  <si>
    <t>PRD-1769</t>
  </si>
  <si>
    <t>PRD-1770</t>
  </si>
  <si>
    <t>PRD-1771</t>
  </si>
  <si>
    <t>PRD-1772</t>
  </si>
  <si>
    <t>PRD-1773</t>
  </si>
  <si>
    <t>PRD-1774</t>
  </si>
  <si>
    <t>PRD-1775</t>
  </si>
  <si>
    <t>PRD-1776</t>
  </si>
  <si>
    <t>PRD-1777</t>
  </si>
  <si>
    <t>PRD-1778</t>
  </si>
  <si>
    <t>PRD-1779</t>
  </si>
  <si>
    <t>PRD-1780</t>
  </si>
  <si>
    <t>PRD-1781</t>
  </si>
  <si>
    <t>PRD-1782</t>
  </si>
  <si>
    <t>PRD-1783</t>
  </si>
  <si>
    <t>PRD-1784</t>
  </si>
  <si>
    <t>PRD-1785</t>
  </si>
  <si>
    <t>PRD-1786</t>
  </si>
  <si>
    <t>PRD-1787</t>
  </si>
  <si>
    <t>PRD-1788</t>
  </si>
  <si>
    <t>PRD-1789</t>
  </si>
  <si>
    <t>PRD-1790</t>
  </si>
  <si>
    <t>PRD-1791</t>
  </si>
  <si>
    <t>PRD-1792</t>
  </si>
  <si>
    <t>PRD-1793</t>
  </si>
  <si>
    <t>PRD-1794</t>
  </si>
  <si>
    <t>PRD-1795</t>
  </si>
  <si>
    <t>PRD-1796</t>
  </si>
  <si>
    <t>PRD-1797</t>
  </si>
  <si>
    <t>PRD-1798</t>
  </si>
  <si>
    <t>PRD-1799</t>
  </si>
  <si>
    <t>PRD-1800</t>
  </si>
  <si>
    <t>PRD-1801</t>
  </si>
  <si>
    <t>PRD-1802</t>
  </si>
  <si>
    <t>PRD-1803</t>
  </si>
  <si>
    <t>PRD-1804</t>
  </si>
  <si>
    <t>PRD-1805</t>
  </si>
  <si>
    <t>PRD-1806</t>
  </si>
  <si>
    <t>PRD-1807</t>
  </si>
  <si>
    <t>PRD-1808</t>
  </si>
  <si>
    <t>PRD-1809</t>
  </si>
  <si>
    <t>PRD-1810</t>
  </si>
  <si>
    <t>PRD-1811</t>
  </si>
  <si>
    <t>PRD-1812</t>
  </si>
  <si>
    <t>PRD-1813</t>
  </si>
  <si>
    <t>PRD-1814</t>
  </si>
  <si>
    <t>PRD-1815</t>
  </si>
  <si>
    <t>PRD-1816</t>
  </si>
  <si>
    <t>PRD-1817</t>
  </si>
  <si>
    <t>PRD-1818</t>
  </si>
  <si>
    <t>PRD-1819</t>
  </si>
  <si>
    <t>PRD-1820</t>
  </si>
  <si>
    <t>PRD-1821</t>
  </si>
  <si>
    <t>PRD-1822</t>
  </si>
  <si>
    <t>PRD-1823</t>
  </si>
  <si>
    <t>PRD-1824</t>
  </si>
  <si>
    <t>PRD-1825</t>
  </si>
  <si>
    <t>PRD-1826</t>
  </si>
  <si>
    <t>PRD-1827</t>
  </si>
  <si>
    <t>PRD-1828</t>
  </si>
  <si>
    <t>PRD-1829</t>
  </si>
  <si>
    <t>PRD-1830</t>
  </si>
  <si>
    <t>PRD-1831</t>
  </si>
  <si>
    <t>PRD-1832</t>
  </si>
  <si>
    <t>PRD-1833</t>
  </si>
  <si>
    <t>PRD-1834</t>
  </si>
  <si>
    <t>PRD-1835</t>
  </si>
  <si>
    <t>PRD-1836</t>
  </si>
  <si>
    <t>PRD-1837</t>
  </si>
  <si>
    <t>PRD-1838</t>
  </si>
  <si>
    <t>PRD-1839</t>
  </si>
  <si>
    <t>PRD-1840</t>
  </si>
  <si>
    <t>PRD-1841</t>
  </si>
  <si>
    <t>PRD-1842</t>
  </si>
  <si>
    <t>PRD-1843</t>
  </si>
  <si>
    <t>PRD-1844</t>
  </si>
  <si>
    <t>PRD-1845</t>
  </si>
  <si>
    <t>PRD-1846</t>
  </si>
  <si>
    <t>PRD-1847</t>
  </si>
  <si>
    <t>PRD-1848</t>
  </si>
  <si>
    <t>PRD-1849</t>
  </si>
  <si>
    <t>PRD-1850</t>
  </si>
  <si>
    <t>PRD-1851</t>
  </si>
  <si>
    <t>PRD-1852</t>
  </si>
  <si>
    <t>PRD-1853</t>
  </si>
  <si>
    <t>PRD-1854</t>
  </si>
  <si>
    <t>PRD-1855</t>
  </si>
  <si>
    <t>PRD-1856</t>
  </si>
  <si>
    <t>PRD-1857</t>
  </si>
  <si>
    <t>PRD-1858</t>
  </si>
  <si>
    <t>PRD-1859</t>
  </si>
  <si>
    <t>PRD-1860</t>
  </si>
  <si>
    <t>PRD-1861</t>
  </si>
  <si>
    <t>PRD-1862</t>
  </si>
  <si>
    <t>PRD-1863</t>
  </si>
  <si>
    <t>PRD-1864</t>
  </si>
  <si>
    <t>PRD-1865</t>
  </si>
  <si>
    <t>PRD-1866</t>
  </si>
  <si>
    <t>PRD-1867</t>
  </si>
  <si>
    <t>PRD-1868</t>
  </si>
  <si>
    <t>PRD-1869</t>
  </si>
  <si>
    <t>PRD-1870</t>
  </si>
  <si>
    <t>PRD-1871</t>
  </si>
  <si>
    <t>PRD-1872</t>
  </si>
  <si>
    <t>PRD-1873</t>
  </si>
  <si>
    <t>PRD-1874</t>
  </si>
  <si>
    <t>PRD-1875</t>
  </si>
  <si>
    <t>PRD-1876</t>
  </si>
  <si>
    <t>PRD-1877</t>
  </si>
  <si>
    <t>PRD-1878</t>
  </si>
  <si>
    <t>PRD-1879</t>
  </si>
  <si>
    <t>PRD-1880</t>
  </si>
  <si>
    <t>PRD-1881</t>
  </si>
  <si>
    <t>PRD-1882</t>
  </si>
  <si>
    <t>PRD-1883</t>
  </si>
  <si>
    <t>PRD-1884</t>
  </si>
  <si>
    <t>PRD-1885</t>
  </si>
  <si>
    <t>PRD-1886</t>
  </si>
  <si>
    <t>PRD-1887</t>
  </si>
  <si>
    <t>PRD-1888</t>
  </si>
  <si>
    <t>PRD-1889</t>
  </si>
  <si>
    <t>PRD-1890</t>
  </si>
  <si>
    <t>PRD-1891</t>
  </si>
  <si>
    <t>PRD-1892</t>
  </si>
  <si>
    <t>PRD-1893</t>
  </si>
  <si>
    <t>PRD-1894</t>
  </si>
  <si>
    <t>PRD-1895</t>
  </si>
  <si>
    <t>PRD-1896</t>
  </si>
  <si>
    <t>PRD-1897</t>
  </si>
  <si>
    <t>PRD-1898</t>
  </si>
  <si>
    <t>PRD-1899</t>
  </si>
  <si>
    <t>PRD-1900</t>
  </si>
  <si>
    <t>PRD-1901</t>
  </si>
  <si>
    <t>PRD-1902</t>
  </si>
  <si>
    <t>PRD-1903</t>
  </si>
  <si>
    <t>PRD-1904</t>
  </si>
  <si>
    <t>PRD-1905</t>
  </si>
  <si>
    <t>PRD-1906</t>
  </si>
  <si>
    <t>PRD-1907</t>
  </si>
  <si>
    <t>PRD-1908</t>
  </si>
  <si>
    <t>PRD-1909</t>
  </si>
  <si>
    <t>PRD-1910</t>
  </si>
  <si>
    <t>PRD-1911</t>
  </si>
  <si>
    <t>PRD-1912</t>
  </si>
  <si>
    <t>PRD-1913</t>
  </si>
  <si>
    <t>PRD-1914</t>
  </si>
  <si>
    <t>PRD-1915</t>
  </si>
  <si>
    <t>PRD-1916</t>
  </si>
  <si>
    <t>PRD-1917</t>
  </si>
  <si>
    <t>PRD-1918</t>
  </si>
  <si>
    <t>PRD-1919</t>
  </si>
  <si>
    <t>PRD-1920</t>
  </si>
  <si>
    <t>PRD-1921</t>
  </si>
  <si>
    <t>PRD-1922</t>
  </si>
  <si>
    <t>PRD-1923</t>
  </si>
  <si>
    <t>PRD-1924</t>
  </si>
  <si>
    <t>PRD-1925</t>
  </si>
  <si>
    <t>PRD-1926</t>
  </si>
  <si>
    <t>PRD-1927</t>
  </si>
  <si>
    <t>PRD-1928</t>
  </si>
  <si>
    <t>PRD-1929</t>
  </si>
  <si>
    <t>PRD-1930</t>
  </si>
  <si>
    <t>PRD-1931</t>
  </si>
  <si>
    <t>PRD-1932</t>
  </si>
  <si>
    <t>PRD-1933</t>
  </si>
  <si>
    <t>PRD-1934</t>
  </si>
  <si>
    <t>PRD-1935</t>
  </si>
  <si>
    <t>PRD-1936</t>
  </si>
  <si>
    <t>PRD-1937</t>
  </si>
  <si>
    <t>PRD-1938</t>
  </si>
  <si>
    <t>PRD-1939</t>
  </si>
  <si>
    <t>PRD-1940</t>
  </si>
  <si>
    <t>PRD-1941</t>
  </si>
  <si>
    <t>PRD-1942</t>
  </si>
  <si>
    <t>PRD-1943</t>
  </si>
  <si>
    <t>PRD-1944</t>
  </si>
  <si>
    <t>PRD-1945</t>
  </si>
  <si>
    <t>PRD-1946</t>
  </si>
  <si>
    <t>PRD-1947</t>
  </si>
  <si>
    <t>PRD-1948</t>
  </si>
  <si>
    <t>PRD-1949</t>
  </si>
  <si>
    <t>PRD-1950</t>
  </si>
  <si>
    <t>PRD-1951</t>
  </si>
  <si>
    <t>PRD-1952</t>
  </si>
  <si>
    <t>PRD-1953</t>
  </si>
  <si>
    <t>PRD-1954</t>
  </si>
  <si>
    <t>PRD-1955</t>
  </si>
  <si>
    <t>PRD-1956</t>
  </si>
  <si>
    <t>PRD-1957</t>
  </si>
  <si>
    <t>PRD-1958</t>
  </si>
  <si>
    <t>PRD-1959</t>
  </si>
  <si>
    <t>PRD-1960</t>
  </si>
  <si>
    <t>PRD-1961</t>
  </si>
  <si>
    <t>PRD-1962</t>
  </si>
  <si>
    <t>PRD-1963</t>
  </si>
  <si>
    <t>PRD-1964</t>
  </si>
  <si>
    <t>PRD-1965</t>
  </si>
  <si>
    <t>PRD-1966</t>
  </si>
  <si>
    <t>PRD-1967</t>
  </si>
  <si>
    <t>PRD-1968</t>
  </si>
  <si>
    <t>PRD-1969</t>
  </si>
  <si>
    <t>PRD-1970</t>
  </si>
  <si>
    <t>PRD-1971</t>
  </si>
  <si>
    <t>PRD-1972</t>
  </si>
  <si>
    <t>PRD-1973</t>
  </si>
  <si>
    <t>PRD-1974</t>
  </si>
  <si>
    <t>PRD-1975</t>
  </si>
  <si>
    <t>PRD-1976</t>
  </si>
  <si>
    <t>PRD-1977</t>
  </si>
  <si>
    <t>PRD-1978</t>
  </si>
  <si>
    <t>PRD-1979</t>
  </si>
  <si>
    <t>PRD-1980</t>
  </si>
  <si>
    <t>PRD-1981</t>
  </si>
  <si>
    <t>PRD-1982</t>
  </si>
  <si>
    <t>PRD-1983</t>
  </si>
  <si>
    <t>PRD-1984</t>
  </si>
  <si>
    <t>PRD-1985</t>
  </si>
  <si>
    <t>PRD-1986</t>
  </si>
  <si>
    <t>PRD-1987</t>
  </si>
  <si>
    <t>PRD-1988</t>
  </si>
  <si>
    <t>PRD-1989</t>
  </si>
  <si>
    <t>PRD-1990</t>
  </si>
  <si>
    <t>PRD-1991</t>
  </si>
  <si>
    <t>PRD-1992</t>
  </si>
  <si>
    <t>PRD-1993</t>
  </si>
  <si>
    <t>PRD-1994</t>
  </si>
  <si>
    <t>PRD-1995</t>
  </si>
  <si>
    <t>PRD-1996</t>
  </si>
  <si>
    <t>PRD-1997</t>
  </si>
  <si>
    <t>PRD-1998</t>
  </si>
  <si>
    <t>PRD-1999</t>
  </si>
  <si>
    <t>PRD-2000</t>
  </si>
  <si>
    <t>Profit per Unit</t>
  </si>
  <si>
    <t>Potential Revenue</t>
  </si>
  <si>
    <t>Potential Profit</t>
  </si>
  <si>
    <t>Row Labels</t>
  </si>
  <si>
    <t>Grand Total</t>
  </si>
  <si>
    <t>Sum of Units Sold</t>
  </si>
  <si>
    <t>Sum of Potential Revenue</t>
  </si>
  <si>
    <t>Sum of Potential Profit</t>
  </si>
  <si>
    <t>Sum of Closing Stock</t>
  </si>
  <si>
    <t>Count of Product ID</t>
  </si>
  <si>
    <t>Count of Product Name</t>
  </si>
  <si>
    <t>Retail Inventory Performance Dashboard</t>
  </si>
  <si>
    <t>Total Products</t>
  </si>
  <si>
    <t>Low-Stock Potential Profit</t>
  </si>
  <si>
    <t>Key Findings</t>
  </si>
  <si>
    <t>1.Electronics is the strongest category, generating 1.24M in potential revenue and 522K in potential profit.</t>
  </si>
  <si>
    <t>2.Power Bank is the highest-volume product, with 3,162 units sold, and also generates the highest potential profit at 96.6K.</t>
  </si>
  <si>
    <t>3.Low-stock products represent 420.7K in potential profit, indicating that inventory levels should be monitored for commercially important products.</t>
  </si>
  <si>
    <t>4. Beauty has the largest number of products (134), but Electronics generates substantially more potential revenue and profit, showing that product count alone does not determine financial contribution.</t>
  </si>
  <si>
    <t>Business Recommendations</t>
  </si>
  <si>
    <t>1. Prioritize inventory monitoring for high-potential-profit products currently classified as LOWSTOCK.</t>
  </si>
  <si>
    <t>2. Maintain availability of high-volume products, particularly Power Bank and other top-selling products.</t>
  </si>
  <si>
    <t>3. Review Electronics inventory and supplier capacity, given the category's strong contribution to potential revenue and profit.</t>
  </si>
  <si>
    <t>4. Evaluate category-level assortment, since categories with more products do not necessarily generate the highest financial contribution.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</si>
</sst>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6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"/>
      <scheme val="minor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[Retail_Inventory_Analysis.xlsx]highest units sold!PivotTable5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products by units sold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'highest units sold'!$B$3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'highest units sold'!$A$4:$A$9</c:f>
              <c:strCache>
                <c:ptCount val="5"/>
                <c:pt idx="0">
                  <c:v>Power Bank</c:v>
                </c:pt>
                <c:pt idx="1">
                  <c:v>Eye Mask</c:v>
                </c:pt>
                <c:pt idx="2">
                  <c:v>Spice Rack</c:v>
                </c:pt>
                <c:pt idx="3">
                  <c:v>Coloring Set</c:v>
                </c:pt>
                <c:pt idx="4">
                  <c:v>Dried Fruit</c:v>
                </c:pt>
              </c:strCache>
            </c:strRef>
          </c:cat>
          <c:val>
            <c:numRef>
              <c:f>'highest units sold'!$B$4:$B$9</c:f>
              <c:numCache>
                <c:formatCode>General</c:formatCode>
                <c:ptCount val="5"/>
                <c:pt idx="0">
                  <c:v>3162</c:v>
                </c:pt>
                <c:pt idx="1">
                  <c:v>3111</c:v>
                </c:pt>
                <c:pt idx="2">
                  <c:v>2815</c:v>
                </c:pt>
                <c:pt idx="3">
                  <c:v>2798</c:v>
                </c:pt>
                <c:pt idx="4">
                  <c:v>2619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9B-40D9-9E00-870D9A347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7787855"/>
        <c:axId val="397777455"/>
      </c:barChart>
      <c:catAx>
        <c:axId val="39778785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777455"/>
        <c:crosses val="autoZero"/>
        <c:auto val="1"/>
        <c:lblAlgn val="ctr"/>
        <c:lblOffset val="100"/>
        <c:noMultiLvlLbl val="0"/>
      </c:catAx>
      <c:valAx>
        <c:axId val="3977774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787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[Retail_Inventory_Analysis.xlsx]category with highest revenue!PivotTable6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Potential</a:t>
            </a:r>
            <a:r>
              <a:rPr lang="en-US" baseline="0"/>
              <a:t> Revenue by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with highest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with highest revenue'!$A$4:$A$12</c:f>
              <c:strCache>
                <c:ptCount val="8"/>
                <c:pt idx="0">
                  <c:v>Electronics</c:v>
                </c:pt>
                <c:pt idx="1">
                  <c:v>Toys &amp; Games</c:v>
                </c:pt>
                <c:pt idx="2">
                  <c:v>Clothing</c:v>
                </c:pt>
                <c:pt idx="3">
                  <c:v>Home &amp; Kitchen</c:v>
                </c:pt>
                <c:pt idx="4">
                  <c:v>Sports &amp; Outdoors</c:v>
                </c:pt>
                <c:pt idx="5">
                  <c:v>Beauty</c:v>
                </c:pt>
                <c:pt idx="6">
                  <c:v>Office Supplies</c:v>
                </c:pt>
                <c:pt idx="7">
                  <c:v>Grocery</c:v>
                </c:pt>
              </c:strCache>
            </c:strRef>
          </c:cat>
          <c:val>
            <c:numRef>
              <c:f>'category with highest revenue'!$B$4:$B$12</c:f>
              <c:numCache>
                <c:formatCode>General</c:formatCode>
                <c:ptCount val="8"/>
                <c:pt idx="0">
                  <c:v>1238469.7899999996</c:v>
                </c:pt>
                <c:pt idx="1">
                  <c:v>500748.58000000013</c:v>
                </c:pt>
                <c:pt idx="2">
                  <c:v>473433.52000000014</c:v>
                </c:pt>
                <c:pt idx="3">
                  <c:v>468877.87999999983</c:v>
                </c:pt>
                <c:pt idx="4">
                  <c:v>393756.55000000005</c:v>
                </c:pt>
                <c:pt idx="5">
                  <c:v>354847.8899999999</c:v>
                </c:pt>
                <c:pt idx="6">
                  <c:v>222270.56999999992</c:v>
                </c:pt>
                <c:pt idx="7">
                  <c:v>179144.21999999991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43-4410-ABA5-75B684A6A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4683503"/>
        <c:axId val="534686831"/>
      </c:barChart>
      <c:catAx>
        <c:axId val="53468350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686831"/>
        <c:crosses val="autoZero"/>
        <c:auto val="1"/>
        <c:lblAlgn val="ctr"/>
        <c:lblOffset val="100"/>
        <c:noMultiLvlLbl val="0"/>
      </c:catAx>
      <c:valAx>
        <c:axId val="53468683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683503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[Retail_Inventory_Analysis.xlsx]category most profitable!PivotTable8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Potential</a:t>
            </a:r>
            <a:r>
              <a:rPr lang="en-US" b="1" baseline="0"/>
              <a:t> Profit by Category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most profitable'!$B$3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most profitable'!$A$4:$A$12</c:f>
              <c:strCache>
                <c:ptCount val="8"/>
                <c:pt idx="0">
                  <c:v>Electronics</c:v>
                </c:pt>
                <c:pt idx="1">
                  <c:v>Toys &amp; Games</c:v>
                </c:pt>
                <c:pt idx="2">
                  <c:v>Clothing</c:v>
                </c:pt>
                <c:pt idx="3">
                  <c:v>Home &amp; Kitchen</c:v>
                </c:pt>
                <c:pt idx="4">
                  <c:v>Sports &amp; Outdoors</c:v>
                </c:pt>
                <c:pt idx="5">
                  <c:v>Beauty</c:v>
                </c:pt>
                <c:pt idx="6">
                  <c:v>Office Supplies</c:v>
                </c:pt>
                <c:pt idx="7">
                  <c:v>Grocery</c:v>
                </c:pt>
              </c:strCache>
            </c:strRef>
          </c:cat>
          <c:val>
            <c:numRef>
              <c:f>'category most profitable'!$B$4:$B$12</c:f>
              <c:numCache>
                <c:formatCode>General</c:formatCode>
                <c:ptCount val="8"/>
                <c:pt idx="0">
                  <c:v>522114.47000000015</c:v>
                </c:pt>
                <c:pt idx="1">
                  <c:v>217310.90000000011</c:v>
                </c:pt>
                <c:pt idx="2">
                  <c:v>204569.77000000002</c:v>
                </c:pt>
                <c:pt idx="3">
                  <c:v>196571.87000000011</c:v>
                </c:pt>
                <c:pt idx="4">
                  <c:v>165803.37000000008</c:v>
                </c:pt>
                <c:pt idx="5">
                  <c:v>152908.62999999995</c:v>
                </c:pt>
                <c:pt idx="6">
                  <c:v>99303.01999999999</c:v>
                </c:pt>
                <c:pt idx="7">
                  <c:v>72589.409999999989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EC3-B159-3F7A67065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2527903"/>
        <c:axId val="542534975"/>
      </c:barChart>
      <c:catAx>
        <c:axId val="54252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534975"/>
        <c:crosses val="autoZero"/>
        <c:auto val="1"/>
        <c:lblAlgn val="ctr"/>
        <c:lblOffset val="100"/>
        <c:noMultiLvlLbl val="0"/>
      </c:catAx>
      <c:valAx>
        <c:axId val="542534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52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[Retail_Inventory_Analysis.xlsx]high sales but low stock!PivotTable10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5 low-stock products by potential profit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'high sales but low stock'!$B$3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'high sales but low stock'!$A$4:$A$9</c:f>
              <c:strCache>
                <c:ptCount val="5"/>
                <c:pt idx="0">
                  <c:v>LED Desk Lamp</c:v>
                </c:pt>
                <c:pt idx="1">
                  <c:v>Power Bank</c:v>
                </c:pt>
                <c:pt idx="2">
                  <c:v>Coloring Set</c:v>
                </c:pt>
                <c:pt idx="3">
                  <c:v>HDMI Cable</c:v>
                </c:pt>
                <c:pt idx="4">
                  <c:v>Bluetooth Adapter</c:v>
                </c:pt>
              </c:strCache>
            </c:strRef>
          </c:cat>
          <c:val>
            <c:numRef>
              <c:f>'high sales but low stock'!$B$4:$B$9</c:f>
              <c:numCache>
                <c:formatCode>General</c:formatCode>
                <c:ptCount val="5"/>
                <c:pt idx="0">
                  <c:v>36751.409999999996</c:v>
                </c:pt>
                <c:pt idx="1">
                  <c:v>35457.83</c:v>
                </c:pt>
                <c:pt idx="2">
                  <c:v>27344.350000000002</c:v>
                </c:pt>
                <c:pt idx="3">
                  <c:v>24550.760000000002</c:v>
                </c:pt>
                <c:pt idx="4">
                  <c:v>18919.919999999998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16-4805-8DFF-5F6F76778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4678511"/>
        <c:axId val="534676431"/>
      </c:barChart>
      <c:catAx>
        <c:axId val="534678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676431"/>
        <c:crosses val="autoZero"/>
        <c:auto val="1"/>
        <c:lblAlgn val="ctr"/>
        <c:lblOffset val="100"/>
        <c:noMultiLvlLbl val="0"/>
      </c:catAx>
      <c:valAx>
        <c:axId val="534676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678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[Retail_Inventory_Analysis.xlsx]category with highest revenue!PivotTable6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Potential</a:t>
            </a:r>
            <a:r>
              <a:rPr lang="en-US" b="1" baseline="0"/>
              <a:t> Revenue by Category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with highest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with highest revenue'!$A$4:$A$12</c:f>
              <c:strCache>
                <c:ptCount val="8"/>
                <c:pt idx="0">
                  <c:v>Electronics</c:v>
                </c:pt>
                <c:pt idx="1">
                  <c:v>Toys &amp; Games</c:v>
                </c:pt>
                <c:pt idx="2">
                  <c:v>Clothing</c:v>
                </c:pt>
                <c:pt idx="3">
                  <c:v>Home &amp; Kitchen</c:v>
                </c:pt>
                <c:pt idx="4">
                  <c:v>Sports &amp; Outdoors</c:v>
                </c:pt>
                <c:pt idx="5">
                  <c:v>Beauty</c:v>
                </c:pt>
                <c:pt idx="6">
                  <c:v>Office Supplies</c:v>
                </c:pt>
                <c:pt idx="7">
                  <c:v>Grocery</c:v>
                </c:pt>
              </c:strCache>
            </c:strRef>
          </c:cat>
          <c:val>
            <c:numRef>
              <c:f>'category with highest revenue'!$B$4:$B$12</c:f>
              <c:numCache>
                <c:formatCode>General</c:formatCode>
                <c:ptCount val="8"/>
                <c:pt idx="0">
                  <c:v>1238469.7899999996</c:v>
                </c:pt>
                <c:pt idx="1">
                  <c:v>500748.58000000013</c:v>
                </c:pt>
                <c:pt idx="2">
                  <c:v>473433.52000000014</c:v>
                </c:pt>
                <c:pt idx="3">
                  <c:v>468877.87999999983</c:v>
                </c:pt>
                <c:pt idx="4">
                  <c:v>393756.55000000005</c:v>
                </c:pt>
                <c:pt idx="5">
                  <c:v>354847.8899999999</c:v>
                </c:pt>
                <c:pt idx="6">
                  <c:v>222270.56999999992</c:v>
                </c:pt>
                <c:pt idx="7">
                  <c:v>179144.21999999991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D-4829-9E72-8E1BA15B1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4683503"/>
        <c:axId val="534686831"/>
      </c:barChart>
      <c:catAx>
        <c:axId val="53468350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686831"/>
        <c:crosses val="autoZero"/>
        <c:auto val="1"/>
        <c:lblAlgn val="ctr"/>
        <c:lblOffset val="100"/>
        <c:noMultiLvlLbl val="0"/>
      </c:catAx>
      <c:valAx>
        <c:axId val="53468683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683503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[Retail_Inventory_Analysis.xlsx]highest units sold!PivotTable5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5 products by units sold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'highest units sold'!$B$3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'highest units sold'!$A$4:$A$9</c:f>
              <c:strCache>
                <c:ptCount val="5"/>
                <c:pt idx="0">
                  <c:v>Power Bank</c:v>
                </c:pt>
                <c:pt idx="1">
                  <c:v>Eye Mask</c:v>
                </c:pt>
                <c:pt idx="2">
                  <c:v>Spice Rack</c:v>
                </c:pt>
                <c:pt idx="3">
                  <c:v>Coloring Set</c:v>
                </c:pt>
                <c:pt idx="4">
                  <c:v>Dried Fruit</c:v>
                </c:pt>
              </c:strCache>
            </c:strRef>
          </c:cat>
          <c:val>
            <c:numRef>
              <c:f>'highest units sold'!$B$4:$B$9</c:f>
              <c:numCache>
                <c:formatCode>General</c:formatCode>
                <c:ptCount val="5"/>
                <c:pt idx="0">
                  <c:v>3162</c:v>
                </c:pt>
                <c:pt idx="1">
                  <c:v>3111</c:v>
                </c:pt>
                <c:pt idx="2">
                  <c:v>2815</c:v>
                </c:pt>
                <c:pt idx="3">
                  <c:v>2798</c:v>
                </c:pt>
                <c:pt idx="4">
                  <c:v>2619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A-47B2-AC7F-6F8D6167B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7787855"/>
        <c:axId val="397777455"/>
      </c:barChart>
      <c:catAx>
        <c:axId val="39778785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777455"/>
        <c:crosses val="autoZero"/>
        <c:auto val="1"/>
        <c:lblAlgn val="ctr"/>
        <c:lblOffset val="100"/>
        <c:noMultiLvlLbl val="0"/>
      </c:catAx>
      <c:valAx>
        <c:axId val="3977774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787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312420</xdr:colOff>
      <xdr:row>8</xdr:row>
      <xdr:rowOff>34290</xdr:rowOff>
    </xdr:from>
    <xdr:to>
      <xdr:col>11</xdr:col>
      <xdr:colOff>190500</xdr:colOff>
      <xdr:row>23</xdr:row>
      <xdr:rowOff>148590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213360</xdr:colOff>
      <xdr:row>8</xdr:row>
      <xdr:rowOff>34290</xdr:rowOff>
    </xdr:from>
    <xdr:to>
      <xdr:col>10</xdr:col>
      <xdr:colOff>91440</xdr:colOff>
      <xdr:row>23</xdr:row>
      <xdr:rowOff>148590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1356360</xdr:colOff>
      <xdr:row>8</xdr:row>
      <xdr:rowOff>34290</xdr:rowOff>
    </xdr:from>
    <xdr:to>
      <xdr:col>8</xdr:col>
      <xdr:colOff>327660</xdr:colOff>
      <xdr:row>23</xdr:row>
      <xdr:rowOff>148590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1394460</xdr:colOff>
      <xdr:row>8</xdr:row>
      <xdr:rowOff>34290</xdr:rowOff>
    </xdr:from>
    <xdr:to>
      <xdr:col>7</xdr:col>
      <xdr:colOff>533400</xdr:colOff>
      <xdr:row>23</xdr:row>
      <xdr:rowOff>148590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22</xdr:row>
      <xdr:rowOff>7620</xdr:rowOff>
    </xdr:from>
    <xdr:to>
      <xdr:col>4</xdr:col>
      <xdr:colOff>126889</xdr:colOff>
      <xdr:row>37</xdr:row>
      <xdr:rowOff>134351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4160520"/>
          <a:ext cx="4584589" cy="2755631"/>
        </a:xfrm>
        <a:prstGeom prst="rect">
          <a:avLst/>
        </a:prstGeom>
      </xdr:spPr>
    </xdr:pic>
    <xdr:clientData/>
  </xdr:twoCellAnchor>
  <xdr:twoCellAnchor>
    <xdr:from>
      <xdr:col>5</xdr:col>
      <xdr:colOff>304800</xdr:colOff>
      <xdr:row>5</xdr:row>
      <xdr:rowOff>7620</xdr:rowOff>
    </xdr:from>
    <xdr:to>
      <xdr:col>8</xdr:col>
      <xdr:colOff>1981200</xdr:colOff>
      <xdr:row>20</xdr:row>
      <xdr:rowOff>121920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518160</xdr:colOff>
      <xdr:row>5</xdr:row>
      <xdr:rowOff>0</xdr:rowOff>
    </xdr:from>
    <xdr:to>
      <xdr:col>4</xdr:col>
      <xdr:colOff>175260</xdr:colOff>
      <xdr:row>20</xdr:row>
      <xdr:rowOff>114300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342900</xdr:colOff>
      <xdr:row>22</xdr:row>
      <xdr:rowOff>0</xdr:rowOff>
    </xdr:from>
    <xdr:to>
      <xdr:col>9</xdr:col>
      <xdr:colOff>35449</xdr:colOff>
      <xdr:row>37</xdr:row>
      <xdr:rowOff>126731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98920" y="4152900"/>
          <a:ext cx="4584589" cy="275563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295.942177314813" createdVersion="6" refreshedVersion="6" minRefreshableVersion="3" recordCount="1001">
  <cacheSource type="worksheet">
    <worksheetSource ref="A1:N1048576" sheet="Retail Inventory"/>
  </cacheSource>
  <cacheFields count="14">
    <cacheField name="Product ID" numFmtId="0">
      <sharedItems containsBlank="1"/>
    </cacheField>
    <cacheField name="Product Name" numFmtId="0">
      <sharedItems containsBlank="1" count="81">
        <s v="Wine Glasses"/>
        <s v="Eye Mask"/>
        <s v="Resistance Band"/>
        <s v="Action Figure"/>
        <s v="Serving Tray"/>
        <s v="Dried Fruit"/>
        <s v="Dish Soap"/>
        <s v="Hiking Socks"/>
        <s v="Yoga Block"/>
        <s v="Kitchen Towels"/>
        <s v="Sticky Notes"/>
        <s v="Olive Oil"/>
        <s v="Canvas Belt"/>
        <s v="Bike Light"/>
        <s v="Face Wash"/>
        <s v="Desk Organizer"/>
        <s v="Utensil Set"/>
        <s v="Deodorant"/>
        <s v="Dry Shampoo"/>
        <s v="Water Bottle"/>
        <s v="Bubble Kit"/>
        <s v="Golf Tees"/>
        <s v="Coloring Set"/>
        <s v="Cutting Board"/>
        <s v="Tape Dispenser"/>
        <s v="Stapler"/>
        <s v="Slime Kit"/>
        <s v="HDMI Cable"/>
        <s v="Bluetooth Adapter"/>
        <s v="Plush Toy"/>
        <s v="Rice Crackers"/>
        <s v="Running Socks"/>
        <s v="Instant Oatmeal"/>
        <s v="Linen Shorts"/>
        <s v="Green Tea Bags"/>
        <s v="Trail Mix"/>
        <s v="Puzzle 500pc"/>
        <s v="Basic T-Shirt"/>
        <s v="Whistle"/>
        <s v="Canned Soup"/>
        <s v="Screen Protector"/>
        <s v="Swim Cap"/>
        <s v="Polo Shirt"/>
        <s v="Webcam Cover"/>
        <s v="Body Mist"/>
        <s v="File Folders"/>
        <s v="Wireless Earbuds"/>
        <s v="Granola Bars"/>
        <s v="Paper Clips"/>
        <s v="Hoodie"/>
        <s v="Card Deck"/>
        <s v="Highlighters"/>
        <s v="Lip Balm"/>
        <s v="Power Bank"/>
        <s v="Denim Jeans"/>
        <s v="Cotton Pads"/>
        <s v="Smart Plug"/>
        <s v="Baseball Cap"/>
        <s v="Beanie Hat"/>
        <s v="Spice Rack"/>
        <s v="Nail File Set"/>
        <s v="Coffee Mug Set"/>
        <s v="Phone Case"/>
        <s v="Tennis Grip Tape"/>
        <s v="Camp Mug"/>
        <s v="Hair Brush"/>
        <s v="Building Blocks"/>
        <s v="USB Cable"/>
        <s v="Ballpoint Pens"/>
        <s v="Honey Jar"/>
        <s v="Board Game Classic"/>
        <s v="Storage Container"/>
        <s v="Zip Jacket"/>
        <s v="Binder Clips"/>
        <s v="Baking Sheet"/>
        <s v="Yo-Yo"/>
        <s v="Notebook A5"/>
        <s v="LED Desk Lamp"/>
        <s v="Hand Cream"/>
        <s v="Pasta Sauce"/>
        <m/>
      </sharedItems>
    </cacheField>
    <cacheField name="Category" numFmtId="0">
      <sharedItems containsBlank="1" count="9">
        <s v="Home &amp; Kitchen"/>
        <s v="Beauty"/>
        <s v="Sports &amp; Outdoors"/>
        <s v="Toys &amp; Games"/>
        <s v="Grocery"/>
        <s v="Office Supplies"/>
        <s v="Clothing"/>
        <s v="Electronics"/>
        <m/>
      </sharedItems>
    </cacheField>
    <cacheField name="Supplier Name" numFmtId="0">
      <sharedItems containsBlank="1" count="11">
        <s v="Heritage Brands"/>
        <s v="Coastal Trading"/>
        <s v="National Supply Group"/>
        <s v="Pacific Wholesale"/>
        <s v="Summit Wholesale Inc"/>
        <s v="Premier Merchandise"/>
        <s v="AllGoods Supply Co"/>
        <s v="United Imports"/>
        <s v="Global Source Direct"/>
        <s v="Metro Distributors"/>
        <m/>
      </sharedItems>
    </cacheField>
    <cacheField name="Unit Cost" numFmtId="0">
      <sharedItems containsString="0" containsBlank="1" containsNumber="1" minValue="0.52" maxValue="78.790000000000006"/>
    </cacheField>
    <cacheField name="Retail Price" numFmtId="0">
      <sharedItems containsString="0" containsBlank="1" containsNumber="1" minValue="1.07" maxValue="157.4"/>
    </cacheField>
    <cacheField name="Opening Stock" numFmtId="0">
      <sharedItems containsString="0" containsBlank="1" containsNumber="1" containsInteger="1" minValue="20" maxValue="499"/>
    </cacheField>
    <cacheField name="Units Sold" numFmtId="0">
      <sharedItems containsString="0" containsBlank="1" containsNumber="1" containsInteger="1" minValue="3" maxValue="463" count="334">
        <n v="118"/>
        <n v="10"/>
        <n v="195"/>
        <n v="140"/>
        <n v="8"/>
        <n v="52"/>
        <n v="6"/>
        <n v="72"/>
        <n v="59"/>
        <n v="14"/>
        <n v="83"/>
        <n v="211"/>
        <n v="110"/>
        <n v="143"/>
        <n v="99"/>
        <n v="381"/>
        <n v="346"/>
        <n v="41"/>
        <n v="5"/>
        <n v="291"/>
        <n v="91"/>
        <n v="183"/>
        <n v="22"/>
        <n v="317"/>
        <n v="259"/>
        <n v="171"/>
        <n v="102"/>
        <n v="32"/>
        <n v="114"/>
        <n v="159"/>
        <n v="16"/>
        <n v="287"/>
        <n v="53"/>
        <n v="156"/>
        <n v="137"/>
        <n v="108"/>
        <n v="326"/>
        <n v="25"/>
        <n v="33"/>
        <n v="290"/>
        <n v="243"/>
        <n v="146"/>
        <n v="224"/>
        <n v="238"/>
        <n v="38"/>
        <n v="286"/>
        <n v="76"/>
        <n v="165"/>
        <n v="129"/>
        <n v="55"/>
        <n v="9"/>
        <n v="75"/>
        <n v="43"/>
        <n v="94"/>
        <n v="158"/>
        <n v="37"/>
        <n v="11"/>
        <n v="56"/>
        <n v="65"/>
        <n v="104"/>
        <n v="119"/>
        <n v="58"/>
        <n v="206"/>
        <n v="97"/>
        <n v="30"/>
        <n v="19"/>
        <n v="26"/>
        <n v="205"/>
        <n v="178"/>
        <n v="150"/>
        <n v="82"/>
        <n v="42"/>
        <n v="152"/>
        <n v="116"/>
        <n v="412"/>
        <n v="21"/>
        <n v="7"/>
        <n v="48"/>
        <n v="133"/>
        <n v="17"/>
        <n v="101"/>
        <n v="39"/>
        <n v="351"/>
        <n v="154"/>
        <n v="148"/>
        <n v="276"/>
        <n v="88"/>
        <n v="177"/>
        <n v="237"/>
        <n v="322"/>
        <n v="27"/>
        <n v="73"/>
        <n v="279"/>
        <n v="60"/>
        <n v="36"/>
        <n v="199"/>
        <n v="232"/>
        <n v="63"/>
        <n v="264"/>
        <n v="96"/>
        <n v="90"/>
        <n v="142"/>
        <n v="370"/>
        <n v="407"/>
        <n v="62"/>
        <n v="115"/>
        <n v="67"/>
        <n v="45"/>
        <n v="85"/>
        <n v="388"/>
        <n v="70"/>
        <n v="334"/>
        <n v="184"/>
        <n v="366"/>
        <n v="29"/>
        <n v="46"/>
        <n v="329"/>
        <n v="47"/>
        <n v="78"/>
        <n v="357"/>
        <n v="135"/>
        <n v="402"/>
        <n v="214"/>
        <n v="77"/>
        <n v="122"/>
        <n v="93"/>
        <n v="84"/>
        <n v="40"/>
        <n v="15"/>
        <n v="275"/>
        <n v="270"/>
        <n v="34"/>
        <n v="149"/>
        <n v="190"/>
        <n v="162"/>
        <n v="203"/>
        <n v="18"/>
        <n v="310"/>
        <n v="117"/>
        <n v="164"/>
        <n v="292"/>
        <n v="69"/>
        <n v="23"/>
        <n v="227"/>
        <n v="186"/>
        <n v="281"/>
        <n v="134"/>
        <n v="212"/>
        <n v="126"/>
        <n v="242"/>
        <n v="124"/>
        <n v="138"/>
        <n v="269"/>
        <n v="157"/>
        <n v="31"/>
        <n v="185"/>
        <n v="398"/>
        <n v="267"/>
        <n v="174"/>
        <n v="247"/>
        <n v="362"/>
        <n v="182"/>
        <n v="127"/>
        <n v="423"/>
        <n v="71"/>
        <n v="303"/>
        <n v="201"/>
        <n v="166"/>
        <n v="125"/>
        <n v="234"/>
        <n v="170"/>
        <n v="109"/>
        <n v="169"/>
        <n v="274"/>
        <n v="327"/>
        <n v="246"/>
        <n v="35"/>
        <n v="280"/>
        <n v="132"/>
        <n v="339"/>
        <n v="139"/>
        <n v="236"/>
        <n v="215"/>
        <n v="54"/>
        <n v="81"/>
        <n v="373"/>
        <n v="111"/>
        <n v="44"/>
        <n v="145"/>
        <n v="301"/>
        <n v="296"/>
        <n v="382"/>
        <n v="197"/>
        <n v="61"/>
        <n v="105"/>
        <n v="95"/>
        <n v="231"/>
        <n v="57"/>
        <n v="103"/>
        <n v="161"/>
        <n v="3"/>
        <n v="100"/>
        <n v="51"/>
        <n v="106"/>
        <n v="204"/>
        <n v="308"/>
        <n v="359"/>
        <n v="235"/>
        <n v="179"/>
        <n v="320"/>
        <n v="49"/>
        <n v="64"/>
        <n v="330"/>
        <n v="299"/>
        <n v="112"/>
        <n v="282"/>
        <n v="254"/>
        <n v="208"/>
        <n v="167"/>
        <n v="68"/>
        <n v="66"/>
        <n v="257"/>
        <n v="364"/>
        <n v="136"/>
        <n v="285"/>
        <n v="277"/>
        <n v="20"/>
        <n v="128"/>
        <n v="181"/>
        <n v="80"/>
        <n v="266"/>
        <n v="248"/>
        <n v="50"/>
        <n v="358"/>
        <n v="349"/>
        <n v="217"/>
        <n v="74"/>
        <n v="315"/>
        <n v="107"/>
        <n v="344"/>
        <n v="194"/>
        <n v="416"/>
        <n v="144"/>
        <n v="456"/>
        <n v="415"/>
        <n v="79"/>
        <n v="113"/>
        <n v="318"/>
        <n v="12"/>
        <n v="193"/>
        <n v="239"/>
        <n v="222"/>
        <n v="200"/>
        <n v="256"/>
        <n v="24"/>
        <n v="160"/>
        <n v="233"/>
        <n v="258"/>
        <n v="210"/>
        <n v="191"/>
        <n v="187"/>
        <n v="333"/>
        <n v="252"/>
        <n v="422"/>
        <n v="302"/>
        <n v="192"/>
        <n v="28"/>
        <n v="87"/>
        <n v="189"/>
        <n v="230"/>
        <n v="390"/>
        <n v="262"/>
        <n v="86"/>
        <n v="121"/>
        <n v="92"/>
        <n v="284"/>
        <n v="354"/>
        <n v="147"/>
        <n v="336"/>
        <n v="332"/>
        <n v="89"/>
        <n v="120"/>
        <n v="295"/>
        <n v="220"/>
        <n v="328"/>
        <n v="13"/>
        <n v="151"/>
        <n v="432"/>
        <n v="397"/>
        <n v="293"/>
        <n v="378"/>
        <n v="463"/>
        <n v="141"/>
        <n v="300"/>
        <n v="343"/>
        <n v="304"/>
        <n v="4"/>
        <n v="342"/>
        <n v="313"/>
        <n v="376"/>
        <n v="363"/>
        <n v="216"/>
        <n v="435"/>
        <n v="324"/>
        <n v="225"/>
        <n v="367"/>
        <n v="260"/>
        <n v="428"/>
        <n v="188"/>
        <n v="153"/>
        <n v="198"/>
        <n v="255"/>
        <n v="98"/>
        <n v="196"/>
        <n v="265"/>
        <n v="384"/>
        <n v="337"/>
        <n v="130"/>
        <n v="240"/>
        <n v="311"/>
        <n v="123"/>
        <n v="241"/>
        <n v="380"/>
        <n v="263"/>
        <n v="175"/>
        <n v="417"/>
        <n v="180"/>
        <n v="155"/>
        <n v="244"/>
        <n v="289"/>
        <n v="218"/>
        <n v="261"/>
        <n v="176"/>
        <m/>
      </sharedItems>
    </cacheField>
    <cacheField name="Closing Stock" numFmtId="0">
      <sharedItems containsString="0" containsBlank="1" containsNumber="1" containsInteger="1" minValue="4" maxValue="432"/>
    </cacheField>
    <cacheField name="Reorder Point" numFmtId="0">
      <sharedItems containsString="0" containsBlank="1" containsNumber="1" containsInteger="1" minValue="2" maxValue="119"/>
    </cacheField>
    <cacheField name="Stock Status" numFmtId="0">
      <sharedItems containsBlank="1" count="3">
        <s v="Low Stock"/>
        <s v="In Stock"/>
        <m/>
      </sharedItems>
    </cacheField>
    <cacheField name="Profit per Unit" numFmtId="0">
      <sharedItems containsString="0" containsBlank="1" containsNumber="1" minValue="0.38000000000000012" maxValue="80.150000000000006"/>
    </cacheField>
    <cacheField name="Potential Revenue" numFmtId="0">
      <sharedItems containsString="0" containsBlank="1" containsNumber="1" minValue="23.04" maxValue="56864.159999999996"/>
    </cacheField>
    <cacheField name="Potential Profit" numFmtId="0">
      <sharedItems containsString="0" containsBlank="1" containsNumber="1" minValue="9.0599999999999987" maxValue="28697.759999999998" count="999">
        <n v="1782.98"/>
        <n v="88.600000000000009"/>
        <n v="1226.5500000000002"/>
        <n v="1160.6000000000001"/>
        <n v="45.44"/>
        <n v="272.47999999999996"/>
        <n v="40.380000000000003"/>
        <n v="175.67999999999995"/>
        <n v="363.44000000000011"/>
        <n v="55.999999999999986"/>
        <n v="419.98"/>
        <n v="1046.5599999999997"/>
        <n v="187.74"/>
        <n v="3571.7"/>
        <n v="1357.0700000000004"/>
        <n v="722.69999999999993"/>
        <n v="2049.7800000000002"/>
        <n v="2183.2600000000002"/>
        <n v="616.23"/>
        <n v="48.900000000000006"/>
        <n v="6594.06"/>
        <n v="791.69999999999993"/>
        <n v="1343.22"/>
        <n v="214.94000000000003"/>
        <n v="928.81"/>
        <n v="1214.7099999999998"/>
        <n v="1484.2800000000007"/>
        <n v="154.01999999999998"/>
        <n v="200"/>
        <n v="842.45999999999981"/>
        <n v="3795.3299999999995"/>
        <n v="429.92000000000007"/>
        <n v="5361.1600000000008"/>
        <n v="638.65000000000009"/>
        <n v="363.48"/>
        <n v="1434.3899999999999"/>
        <n v="824.04000000000008"/>
        <n v="7038.34"/>
        <n v="44.999999999999993"/>
        <n v="340.56"/>
        <n v="7009.2999999999993"/>
        <n v="767.88"/>
        <n v="2195.8399999999997"/>
        <n v="4175.3600000000006"/>
        <n v="1539.8600000000006"/>
        <n v="650.94000000000005"/>
        <n v="114.39999999999998"/>
        <n v="596.60000000000014"/>
        <n v="681.45000000000016"/>
        <n v="2107.86"/>
        <n v="307.99999999999989"/>
        <n v="17.64"/>
        <n v="3875.25"/>
        <n v="174.15000000000003"/>
        <n v="408.36"/>
        <n v="176.72000000000008"/>
        <n v="4461.9199999999992"/>
        <n v="129.13"/>
        <n v="109.22999999999996"/>
        <n v="844.11"/>
        <n v="1322.19"/>
        <n v="355.59999999999997"/>
        <n v="1138.1500000000001"/>
        <n v="1577.6599999999999"/>
        <n v="144.55999999999997"/>
        <n v="1280.4400000000003"/>
        <n v="1554.9799999999993"/>
        <n v="1512.04"/>
        <n v="395.7600000000001"/>
        <n v="36.600000000000009"/>
        <n v="397.67000000000007"/>
        <n v="443.04000000000008"/>
        <n v="63.359999999999992"/>
        <n v="121.59999999999997"/>
        <n v="791.3000000000003"/>
        <n v="1969.5000000000005"/>
        <n v="66.22"/>
        <n v="4606.6399999999994"/>
        <n v="191.68"/>
        <n v="1063.5"/>
        <n v="1626.69"/>
        <n v="991.79"/>
        <n v="3825.3000000000006"/>
        <n v="748.0200000000001"/>
        <n v="589.75999999999988"/>
        <n v="593.92000000000007"/>
        <n v="310.88"/>
        <n v="14490.039999999997"/>
        <n v="40.739999999999988"/>
        <n v="64.959999999999994"/>
        <n v="471.58000000000015"/>
        <n v="477.11999999999989"/>
        <n v="557.2700000000001"/>
        <n v="162.52000000000001"/>
        <n v="300.98"/>
        <n v="826.40999999999985"/>
        <n v="150.08000000000001"/>
        <n v="635.1600000000002"/>
        <n v="348.32"/>
        <n v="5917.8600000000015"/>
        <n v="860.86"/>
        <n v="1971.3600000000001"/>
        <n v="283.13999999999993"/>
        <n v="3645.96"/>
        <n v="854.40000000000009"/>
        <n v="218.24000000000004"/>
        <n v="1127.4899999999998"/>
        <n v="76.019999999999982"/>
        <n v="170.63999999999996"/>
        <n v="2492.2800000000002"/>
        <n v="383.4"/>
        <n v="493.5800000000001"/>
        <n v="865.53"/>
        <n v="325.96999999999997"/>
        <n v="598.95000000000005"/>
        <n v="181.04000000000002"/>
        <n v="600.32000000000005"/>
        <n v="1297.3500000000001"/>
        <n v="631.80000000000007"/>
        <n v="319.68000000000006"/>
        <n v="13020.570000000002"/>
        <n v="732.78000000000009"/>
        <n v="1572.9600000000003"/>
        <n v="520"/>
        <n v="1268.0799999999997"/>
        <n v="912.23999999999978"/>
        <n v="1174.7999999999997"/>
        <n v="1749.1200000000003"/>
        <n v="788.40000000000009"/>
        <n v="591.00000000000011"/>
        <n v="3264.6200000000003"/>
        <n v="1620.22"/>
        <n v="1254.3"/>
        <n v="1721.2800000000002"/>
        <n v="1043.52"/>
        <n v="425.04000000000008"/>
        <n v="4008.9500000000021"/>
        <n v="1685.9999999999998"/>
        <n v="563.58000000000004"/>
        <n v="52.170000000000023"/>
        <n v="81.649999999999991"/>
        <n v="1295.1099999999999"/>
        <n v="537.29999999999995"/>
        <n v="1516.11"/>
        <n v="1120.3"/>
        <n v="198.00000000000006"/>
        <n v="5206.9599999999991"/>
        <n v="1416.0999999999997"/>
        <n v="5173.66"/>
        <n v="1744.3200000000002"/>
        <n v="4227.2999999999993"/>
        <n v="384.83000000000004"/>
        <n v="775.56"/>
        <n v="1911.4899999999996"/>
        <n v="801.03999999999985"/>
        <n v="1198.7999999999997"/>
        <n v="214.32"/>
        <n v="896.22000000000014"/>
        <n v="8746.4999999999982"/>
        <n v="588.6"/>
        <n v="8912.34"/>
        <n v="1495.8599999999997"/>
        <n v="1968.1200000000001"/>
        <n v="2445.4499999999998"/>
        <n v="838.50000000000011"/>
        <n v="1944.0300000000002"/>
        <n v="185.64"/>
        <n v="922.32"/>
        <n v="4485.3999999999996"/>
        <n v="1353.1500000000003"/>
        <n v="981.96000000000015"/>
        <n v="557.59999999999991"/>
        <n v="7100.7999999999993"/>
        <n v="13530.079999999998"/>
        <n v="714.07"/>
        <n v="16.649999999999999"/>
        <n v="5148"/>
        <n v="1028.7"/>
        <n v="490.96000000000004"/>
        <n v="913.19999999999993"/>
        <n v="875.05"/>
        <n v="415.71000000000009"/>
        <n v="1521.9000000000003"/>
        <n v="3295.08"/>
        <n v="1548.8899999999999"/>
        <n v="40.859999999999992"/>
        <n v="3310.8000000000006"/>
        <n v="2650.0499999999997"/>
        <n v="1113.5600000000002"/>
        <n v="108.79"/>
        <n v="335.37"/>
        <n v="3075.2999999999993"/>
        <n v="85.4"/>
        <n v="709.8"/>
        <n v="6940.8400000000011"/>
        <n v="2692.7999999999997"/>
        <n v="394.62999999999982"/>
        <n v="4452.57"/>
        <n v="363.66"/>
        <n v="136.99"/>
        <n v="105.57000000000002"/>
        <n v="718.63999999999987"/>
        <n v="216.35999999999999"/>
        <n v="2106.5600000000004"/>
        <n v="687.24"/>
        <n v="217.61999999999998"/>
        <n v="4656.17"/>
        <n v="2107.9500000000003"/>
        <n v="1380.2"/>
        <n v="99.500000000000014"/>
        <n v="447.48"/>
        <n v="469.06"/>
        <n v="6137.3999999999987"/>
        <n v="1214.6400000000001"/>
        <n v="3856.3200000000006"/>
        <n v="215.97000000000006"/>
        <n v="3963.9600000000005"/>
        <n v="1149.28"/>
        <n v="1478.08"/>
        <n v="309.12"/>
        <n v="640.64"/>
        <n v="733.12"/>
        <n v="1429.5699999999997"/>
        <n v="402.48"/>
        <n v="1853.41"/>
        <n v="1918.5400000000002"/>
        <n v="932.79000000000008"/>
        <n v="579.69999999999982"/>
        <n v="388.49999999999994"/>
        <n v="807.69999999999993"/>
        <n v="1618.9599999999998"/>
        <n v="1619.8600000000001"/>
        <n v="5086.3500000000004"/>
        <n v="119.77000000000001"/>
        <n v="727.90999999999985"/>
        <n v="1988.82"/>
        <n v="288.99000000000007"/>
        <n v="296.96000000000004"/>
        <n v="626.26"/>
        <n v="5465.4600000000009"/>
        <n v="104.03000000000003"/>
        <n v="2160.2699999999995"/>
        <n v="127.19000000000001"/>
        <n v="1040.5800000000002"/>
        <n v="804.33000000000015"/>
        <n v="744.08"/>
        <n v="1781.6399999999999"/>
        <n v="217.80000000000004"/>
        <n v="67.099999999999994"/>
        <n v="1629.9199999999996"/>
        <n v="895.40000000000009"/>
        <n v="1264.0900000000001"/>
        <n v="4300.4999999999982"/>
        <n v="1131.6300000000001"/>
        <n v="1806.0799999999992"/>
        <n v="115.37999999999998"/>
        <n v="2298.3399999999997"/>
        <n v="349.86000000000007"/>
        <n v="962.49999999999989"/>
        <n v="1548.8199999999995"/>
        <n v="627.64"/>
        <n v="3495.96"/>
        <n v="794.7299999999999"/>
        <n v="3527.5000000000005"/>
        <n v="486.14"/>
        <n v="8549.7100000000009"/>
        <n v="1589.2000000000003"/>
        <n v="374.22"/>
        <n v="477.92"/>
        <n v="456.66000000000014"/>
        <n v="2186.7300000000009"/>
        <n v="371.68000000000006"/>
        <n v="175.04000000000002"/>
        <n v="2937.6"/>
        <n v="555.5200000000001"/>
        <n v="258.23999999999995"/>
        <n v="1815.3999999999999"/>
        <n v="1038.27"/>
        <n v="1926.45"/>
        <n v="580.49999999999989"/>
        <n v="529.60000000000014"/>
        <n v="251.33999999999997"/>
        <n v="3600.2700000000004"/>
        <n v="11857.2"/>
        <n v="1096.32"/>
        <n v="254.44999999999993"/>
        <n v="588.2600000000001"/>
        <n v="1061.7199999999998"/>
        <n v="660.79999999999984"/>
        <n v="46.360000000000014"/>
        <n v="33.539999999999992"/>
        <n v="472.1400000000001"/>
        <n v="806.46999999999991"/>
        <n v="200.64000000000007"/>
        <n v="3932.4"/>
        <n v="2089.17"/>
        <n v="116.39999999999998"/>
        <n v="1106.3500000000001"/>
        <n v="1320.3700000000003"/>
        <n v="1367.8400000000001"/>
        <n v="8774.4800000000014"/>
        <n v="425.03999999999996"/>
        <n v="43.02000000000001"/>
        <n v="79.899999999999991"/>
        <n v="247.25000000000009"/>
        <n v="1124.28"/>
        <n v="1286.44"/>
        <n v="722.51999999999987"/>
        <n v="3498.74"/>
        <n v="1988.0100000000004"/>
        <n v="573.29999999999995"/>
        <n v="1443.42"/>
        <n v="241.8"/>
        <n v="1061.9100000000001"/>
        <n v="816.19999999999982"/>
        <n v="530.70000000000005"/>
        <n v="922.49999999999977"/>
        <n v="168.56"/>
        <n v="79.199999999999989"/>
        <n v="442.05999999999995"/>
        <n v="3423.6600000000008"/>
        <n v="455.9199999999999"/>
        <n v="1032.96"/>
        <n v="467.68"/>
        <n v="244.80000000000004"/>
        <n v="35.360000000000007"/>
        <n v="368.15999999999991"/>
        <n v="1936.6399999999999"/>
        <n v="122.21"/>
        <n v="12560.159999999998"/>
        <n v="1206.3599999999999"/>
        <n v="1323.28"/>
        <n v="3383"/>
        <n v="572.94999999999993"/>
        <n v="15789.550000000001"/>
        <n v="922.89999999999986"/>
        <n v="324.51999999999992"/>
        <n v="2742.6000000000004"/>
        <n v="772.34999999999991"/>
        <n v="15262.170000000002"/>
        <n v="139.07999999999998"/>
        <n v="775.03"/>
        <n v="333.72"/>
        <n v="374.40000000000009"/>
        <n v="257.67"/>
        <n v="3319.82"/>
        <n v="3475.6499999999996"/>
        <n v="774.6099999999999"/>
        <n v="75.81"/>
        <n v="182.16"/>
        <n v="162"/>
        <n v="679.32"/>
        <n v="136.73999999999998"/>
        <n v="1114.46"/>
        <n v="1432.75"/>
        <n v="4210.5600000000004"/>
        <n v="280.28000000000003"/>
        <n v="164.45"/>
        <n v="1571.31"/>
        <n v="80.94"/>
        <n v="446.15999999999997"/>
        <n v="226.16999999999996"/>
        <n v="2074.17"/>
        <n v="871.64999999999975"/>
        <n v="1224.96"/>
        <n v="138.65"/>
        <n v="303.17"/>
        <n v="347.59999999999991"/>
        <n v="506.67999999999995"/>
        <n v="41.790000000000006"/>
        <n v="710.63"/>
        <n v="840.69999999999982"/>
        <n v="2604.7999999999997"/>
        <n v="4191.18"/>
        <n v="527.24"/>
        <n v="1152.6399999999999"/>
        <n v="204.00000000000003"/>
        <n v="6967.1"/>
        <n v="82.44"/>
        <n v="1132.2"/>
        <n v="618.24000000000012"/>
        <n v="2656.5000000000005"/>
        <n v="518.23999999999978"/>
        <n v="202.44"/>
        <n v="1062.72"/>
        <n v="220.59"/>
        <n v="3396.64"/>
        <n v="189.98000000000005"/>
        <n v="148.67999999999995"/>
        <n v="82.83"/>
        <n v="577.92000000000007"/>
        <n v="409.66999999999996"/>
        <n v="1372"/>
        <n v="3113.2799999999997"/>
        <n v="851.2"/>
        <n v="532.12000000000012"/>
        <n v="4848.8600000000006"/>
        <n v="12174.240000000003"/>
        <n v="3122.9"/>
        <n v="63.920000000000009"/>
        <n v="1903.02"/>
        <n v="2173.38"/>
        <n v="99.450000000000017"/>
        <n v="2107.7199999999998"/>
        <n v="1539.4299999999996"/>
        <n v="1542.4100000000003"/>
        <n v="2613.52"/>
        <n v="389.5"/>
        <n v="326.04000000000002"/>
        <n v="930.68"/>
        <n v="4813.8999999999996"/>
        <n v="412.08"/>
        <n v="1055.5999999999997"/>
        <n v="506.55999999999995"/>
        <n v="852.14999999999986"/>
        <n v="1272.6399999999996"/>
        <n v="4005.6800000000003"/>
        <n v="357.84"/>
        <n v="621.59999999999991"/>
        <n v="20.79"/>
        <n v="45.100000000000009"/>
        <n v="2587.1799999999989"/>
        <n v="231.32999999999998"/>
        <n v="47.52000000000001"/>
        <n v="240.5"/>
        <n v="1330.4899999999998"/>
        <n v="1576.8000000000002"/>
        <n v="518.16"/>
        <n v="2145.9999999999995"/>
        <n v="1167.06"/>
        <n v="1000.2"/>
        <n v="299.52000000000004"/>
        <n v="234.3"/>
        <n v="104.4"/>
        <n v="2545.46"/>
        <n v="633.10000000000014"/>
        <n v="490.34999999999997"/>
        <n v="118.08"/>
        <n v="1808.1899999999998"/>
        <n v="73.599999999999994"/>
        <n v="262.59999999999997"/>
        <n v="610.74"/>
        <n v="1115.55"/>
        <n v="409.53000000000009"/>
        <n v="1943.1999999999998"/>
        <n v="3880.94"/>
        <n v="699.84000000000015"/>
        <n v="3596.67"/>
        <n v="1904.6399999999999"/>
        <n v="2041.2"/>
        <n v="1198.8800000000001"/>
        <n v="277.15999999999997"/>
        <n v="79.5"/>
        <n v="1306.7999999999997"/>
        <n v="3970.22"/>
        <n v="693.11999999999989"/>
        <n v="5863.2"/>
        <n v="11574.779999999999"/>
        <n v="2688.2700000000004"/>
        <n v="248.79999999999998"/>
        <n v="1165.5000000000002"/>
        <n v="356.41999999999996"/>
        <n v="7827.75"/>
        <n v="101.69999999999999"/>
        <n v="2511.2899999999991"/>
        <n v="4280.0100000000011"/>
        <n v="394.55999999999995"/>
        <n v="4231.2"/>
        <n v="1627.6599999999999"/>
        <n v="7005.44"/>
        <n v="602.16"/>
        <n v="1161.54"/>
        <n v="2331.36"/>
        <n v="280.45999999999998"/>
        <n v="219.30000000000004"/>
        <n v="5643.880000000001"/>
        <n v="3556.8"/>
        <n v="145.55000000000004"/>
        <n v="1648.5"/>
        <n v="887.4"/>
        <n v="1583.01"/>
        <n v="9504.56"/>
        <n v="10819.05"/>
        <n v="205.91999999999996"/>
        <n v="237.99999999999991"/>
        <n v="410.4"/>
        <n v="6824.46"/>
        <n v="1240.3000000000002"/>
        <n v="539.70000000000005"/>
        <n v="562.70000000000005"/>
        <n v="1726.0800000000002"/>
        <n v="3012.2400000000002"/>
        <n v="6416.4800000000005"/>
        <n v="930.15000000000009"/>
        <n v="5654.6200000000008"/>
        <n v="3130.4"/>
        <n v="152.80000000000001"/>
        <n v="403.20000000000005"/>
        <n v="67.320000000000007"/>
        <n v="578.2399999999999"/>
        <n v="1898.3999999999996"/>
        <n v="872.4799999999999"/>
        <n v="3221.3399999999997"/>
        <n v="217.08000000000004"/>
        <n v="650.37999999999988"/>
        <n v="1264.18"/>
        <n v="499.71999999999991"/>
        <n v="1569.6"/>
        <n v="221.2"/>
        <n v="387.79999999999995"/>
        <n v="3469.62"/>
        <n v="1642.43"/>
        <n v="416.84999999999997"/>
        <n v="6276.14"/>
        <n v="3851.2999999999997"/>
        <n v="1135.2000000000003"/>
        <n v="1429.6800000000003"/>
        <n v="1032.0000000000002"/>
        <n v="12485.849999999999"/>
        <n v="3555.84"/>
        <n v="972.4"/>
        <n v="1419.8400000000001"/>
        <n v="149.76"/>
        <n v="499.20000000000005"/>
        <n v="788.4799999999999"/>
        <n v="14056.169999999996"/>
        <n v="1316.45"/>
        <n v="627.80000000000007"/>
        <n v="164.96999999999997"/>
        <n v="1325.6099999999997"/>
        <n v="2332.3199999999997"/>
        <n v="342.19999999999993"/>
        <n v="489.1"/>
        <n v="22.359999999999996"/>
        <n v="1318.8"/>
        <n v="759.37999999999988"/>
        <n v="1424.8600000000001"/>
        <n v="2773.2100000000005"/>
        <n v="839.15999999999985"/>
        <n v="1462.5100000000002"/>
        <n v="1008.1500000000001"/>
        <n v="656.49000000000012"/>
        <n v="2208.36"/>
        <n v="183.15"/>
        <n v="3530.7300000000005"/>
        <n v="225.07000000000002"/>
        <n v="2177.2800000000011"/>
        <n v="491.26000000000005"/>
        <n v="813.45"/>
        <n v="1869.4599999999998"/>
        <n v="3554.54"/>
        <n v="160.22999999999996"/>
        <n v="123.99999999999999"/>
        <n v="1935.4800000000002"/>
        <n v="55.439999999999991"/>
        <n v="110.38999999999999"/>
        <n v="124.43999999999997"/>
        <n v="2887.74"/>
        <n v="527"/>
        <n v="984.14999999999986"/>
        <n v="3048.9599999999991"/>
        <n v="486.39000000000004"/>
        <n v="88.48"/>
        <n v="3879.82"/>
        <n v="3862.5"/>
        <n v="533.99999999999989"/>
        <n v="985.44"/>
        <n v="1657.8100000000002"/>
        <n v="137.18"/>
        <n v="129.58000000000001"/>
        <n v="2496.5999999999995"/>
        <n v="7603.7999999999993"/>
        <n v="200.26000000000002"/>
        <n v="73.440000000000012"/>
        <n v="1757.3999999999999"/>
        <n v="46.980000000000004"/>
        <n v="222.93999999999997"/>
        <n v="7244.37"/>
        <n v="788.11999999999989"/>
        <n v="1639.9"/>
        <n v="846.79999999999984"/>
        <n v="821.86000000000013"/>
        <n v="362.25000000000006"/>
        <n v="1555.42"/>
        <n v="594.72"/>
        <n v="2616.9800000000005"/>
        <n v="902.05999999999983"/>
        <n v="8057.4000000000015"/>
        <n v="243.95000000000007"/>
        <n v="293.16000000000003"/>
        <n v="2850.3199999999997"/>
        <n v="665.48"/>
        <n v="1320.8400000000001"/>
        <n v="1282.0500000000004"/>
        <n v="302.71999999999997"/>
        <n v="794.96999999999957"/>
        <n v="752.2199999999998"/>
        <n v="478.88000000000005"/>
        <n v="1359.68"/>
        <n v="5422.48"/>
        <n v="989.34000000000015"/>
        <n v="1026.72"/>
        <n v="2048.23"/>
        <n v="138.72000000000003"/>
        <n v="8745.5700000000015"/>
        <n v="865.14999999999986"/>
        <n v="5437.8899999999994"/>
        <n v="886.07999999999993"/>
        <n v="439.52000000000004"/>
        <n v="1070.08"/>
        <n v="1094.82"/>
        <n v="351.39000000000004"/>
        <n v="442.52"/>
        <n v="87.5"/>
        <n v="1463.6799999999998"/>
        <n v="330.3"/>
        <n v="2663.7999999999997"/>
        <n v="9.0599999999999987"/>
        <n v="63.629999999999988"/>
        <n v="495.59999999999997"/>
        <n v="136.29999999999998"/>
        <n v="2093.0399999999995"/>
        <n v="517.29"/>
        <n v="346.32000000000011"/>
        <n v="4384.96"/>
        <n v="2596.86"/>
        <n v="1086.21"/>
        <n v="4234.72"/>
        <n v="477"/>
        <n v="349.92"/>
        <n v="2292.52"/>
        <n v="4240.3500000000004"/>
        <n v="4122.8100000000004"/>
        <n v="123.42"/>
        <n v="57.750000000000014"/>
        <n v="1102.95"/>
        <n v="1444.32"/>
        <n v="435.78000000000009"/>
        <n v="1966.86"/>
        <n v="3265.9199999999996"/>
        <n v="919.6400000000001"/>
        <n v="878.41999999999962"/>
        <n v="245.76000000000005"/>
        <n v="94.549999999999983"/>
        <n v="2056.3199999999997"/>
        <n v="121.09999999999997"/>
        <n v="214.59000000000003"/>
        <n v="2004.2799999999997"/>
        <n v="209.24999999999994"/>
        <n v="270.24999999999994"/>
        <n v="156.00000000000003"/>
        <n v="3843.8500000000004"/>
        <n v="843.4799999999999"/>
        <n v="466.20000000000005"/>
        <n v="1033.1999999999998"/>
        <n v="1270.4099999999999"/>
        <n v="8144.4000000000024"/>
        <n v="1377.5099999999995"/>
        <n v="1943.2699999999998"/>
        <n v="497.76"/>
        <n v="1393.6"/>
        <n v="779.9"/>
        <n v="1275.92"/>
        <n v="839.46"/>
        <n v="726.30000000000007"/>
        <n v="264.59999999999997"/>
        <n v="2077.4400000000005"/>
        <n v="72.02000000000001"/>
        <n v="368.58999999999992"/>
        <n v="595.35"/>
        <n v="731.14"/>
        <n v="3359.7499999999991"/>
        <n v="28697.759999999998"/>
        <n v="782.55"/>
        <n v="4348.2599999999984"/>
        <n v="3958.0899999999997"/>
        <n v="943.4599999999997"/>
        <n v="244.53"/>
        <n v="207.27"/>
        <n v="1335.3599999999997"/>
        <n v="1648.2"/>
        <n v="1555.9500000000003"/>
        <n v="3867.8400000000011"/>
        <n v="2084.8799999999997"/>
        <n v="224.64000000000001"/>
        <n v="730.08"/>
        <n v="2624.4"/>
        <n v="136.5"/>
        <n v="522.06000000000006"/>
        <n v="208.89000000000004"/>
        <n v="3643.92"/>
        <n v="866.24999999999989"/>
        <n v="846.72000000000014"/>
        <n v="1806.42"/>
        <n v="275.20999999999998"/>
        <n v="5036.4399999999996"/>
        <n v="4251.0000000000009"/>
        <n v="153.14999999999998"/>
        <n v="5303.2999999999993"/>
        <n v="98.049999999999955"/>
        <n v="876.4"/>
        <n v="346.68"/>
        <n v="655.20000000000005"/>
        <n v="2818.92"/>
        <n v="996.82"/>
        <n v="4093.3199999999997"/>
        <n v="4023.8100000000004"/>
        <n v="1091.5"/>
        <n v="220.98000000000002"/>
        <n v="947.6"/>
        <n v="55.679999999999986"/>
        <n v="1832.6399999999999"/>
        <n v="4076.63"/>
        <n v="265.05"/>
        <n v="1886.6899999999998"/>
        <n v="234.09"/>
        <n v="4719.6000000000004"/>
        <n v="1331.5199999999998"/>
        <n v="1865.7"/>
        <n v="60.480000000000004"/>
        <n v="601.90000000000009"/>
        <n v="2591.8200000000002"/>
        <n v="747.90000000000009"/>
        <n v="328.55999999999995"/>
        <n v="1028.08"/>
        <n v="1610.2199999999998"/>
        <n v="2507.9199999999996"/>
        <n v="888.00000000000011"/>
        <n v="946.89"/>
        <n v="3191.7599999999998"/>
        <n v="1649.8300000000002"/>
        <n v="534.59"/>
        <n v="244.41999999999996"/>
        <n v="1197.6399999999996"/>
        <n v="4830.5600000000004"/>
        <n v="164.32000000000005"/>
        <n v="206.09"/>
        <n v="1615.4099999999999"/>
        <n v="790.5"/>
        <n v="236.15999999999997"/>
        <n v="4247.0999999999995"/>
        <n v="181.76999999999998"/>
        <n v="197.50000000000006"/>
        <n v="86.72"/>
        <n v="32.340000000000018"/>
        <n v="3917.76"/>
        <n v="577.43999999999994"/>
        <n v="618.89000000000021"/>
        <n v="4654.62"/>
        <n v="3001.440000000001"/>
        <n v="1432.6399999999996"/>
        <n v="114.41000000000001"/>
        <n v="159.6"/>
        <n v="44.69"/>
        <n v="1177.05"/>
        <n v="233.58"/>
        <n v="1953.84"/>
        <n v="1344.1600000000003"/>
        <n v="957.7800000000002"/>
        <n v="2470.0300000000007"/>
        <n v="80.849999999999994"/>
        <n v="85.320000000000007"/>
        <n v="6862"/>
        <n v="2587.1999999999998"/>
        <n v="408.53999999999996"/>
        <n v="1256.7100000000003"/>
        <n v="483.59999999999997"/>
        <n v="556.22000000000014"/>
        <n v="293.76000000000005"/>
        <n v="56.4"/>
        <n v="1057.08"/>
        <n v="277.82999999999993"/>
        <n v="1405.9999999999998"/>
        <n v="3121.7999999999997"/>
        <n v="775.60000000000014"/>
        <n v="631.07999999999993"/>
        <n v="6127.2"/>
        <n v="1097.28"/>
        <n v="2371.4399999999996"/>
        <n v="1307.81"/>
        <n v="111.21000000000001"/>
        <n v="3995.6800000000003"/>
        <n v="306.18"/>
        <n v="3234.56"/>
        <n v="197.85999999999993"/>
        <n v="330.99"/>
        <n v="1655.8500000000001"/>
        <n v="2867.6400000000003"/>
        <n v="534.5200000000001"/>
        <n v="2235.9"/>
        <n v="20771.639999999996"/>
        <n v="504.13999999999993"/>
        <n v="1750.4999999999998"/>
        <n v="1737.0000000000005"/>
        <n v="1623.5999999999997"/>
        <n v="770.69999999999982"/>
        <n v="1011.3600000000001"/>
        <n v="2839"/>
        <n v="161.19999999999999"/>
        <n v="636.48"/>
        <n v="2046.6599999999999"/>
        <n v="1100.4000000000001"/>
        <n v="2249.19"/>
        <n v="1313.8500000000001"/>
        <n v="2376.0000000000005"/>
        <n v="287.99999999999994"/>
        <n v="717.92000000000019"/>
        <n v="377.00000000000006"/>
        <n v="6193.16"/>
        <n v="2009.8000000000002"/>
        <n v="1925.1200000000003"/>
        <n v="2166.48"/>
        <n v="1070.5999999999999"/>
        <n v="841.60000000000014"/>
        <n v="1559.3999999999996"/>
        <n v="285.48"/>
        <n v="3868.7200000000003"/>
        <n v="128.31"/>
        <n v="789.5999999999998"/>
        <n v="2607.9999999999995"/>
        <n v="1331.2399999999998"/>
        <n v="807.84"/>
        <n v="68.62"/>
        <n v="2218.5"/>
        <n v="546.8399999999998"/>
        <n v="109.82999999999998"/>
        <n v="2550.6000000000004"/>
        <n v="6113.58"/>
        <n v="457.94999999999993"/>
        <n v="344.38000000000005"/>
        <n v="130.35"/>
        <n v="1288.4300000000003"/>
        <n v="170.27999999999997"/>
        <n v="353.28"/>
        <n v="3145.5"/>
        <n v="33.240000000000009"/>
        <n v="153.01"/>
        <n v="541.30999999999995"/>
        <n v="244.99999999999994"/>
        <n v="2598.48"/>
        <n v="1730.4599999999996"/>
        <n v="3553.2000000000003"/>
        <n v="365.05"/>
        <n v="435.69000000000005"/>
        <n v="1291.32"/>
        <n v="260.75999999999993"/>
        <n v="972.90000000000009"/>
        <n v="1527.68"/>
        <n v="254.82000000000002"/>
        <n v="83.840000000000018"/>
        <n v="188.45999999999998"/>
        <n v="1366.76"/>
        <n v="529.20000000000016"/>
        <n v="715.49999999999977"/>
        <n v="1414.0799999999997"/>
        <n v="696.42000000000007"/>
        <n v="220.97999999999996"/>
        <n v="463.32000000000005"/>
        <n v="310.59000000000009"/>
        <n v="7534.079999999999"/>
        <n v="1902.3100000000002"/>
        <n v="1647.9300000000003"/>
        <n v="553.41000000000008"/>
        <n v="457.60000000000008"/>
        <n v="6422.0800000000008"/>
        <n v="98.45"/>
        <n v="1321.0799999999997"/>
        <n v="821.73999999999978"/>
        <n v="2075.64"/>
        <n v="974.25000000000011"/>
        <n v="1279.1999999999998"/>
        <n v="731.31999999999994"/>
        <n v="3755.9999999999995"/>
        <n v="1562.1999999999998"/>
        <n v="2575.65"/>
        <n v="1528.8000000000002"/>
        <n v="469.76"/>
        <n v="384.15000000000003"/>
        <n v="326.03999999999996"/>
        <n v="4136.5999999999995"/>
        <n v="6087.4000000000005"/>
        <n v="3436.7400000000002"/>
        <n v="3158.3799999999997"/>
        <n v="705.5100000000001"/>
        <n v="983.58"/>
        <n v="688.04"/>
        <n v="1607.7600000000002"/>
        <n v="347.2"/>
        <n v="2896.8"/>
        <n v="394.67999999999995"/>
        <n v="1915.25"/>
        <n v="25.609999999999996"/>
        <n v="1084.6000000000001"/>
        <n v="139.12000000000003"/>
        <n v="11951.730000000001"/>
        <n v="73.260000000000019"/>
        <n v="803.16000000000008"/>
        <n v="1719.1200000000001"/>
        <n v="387.71999999999997"/>
        <n v="98.490000000000009"/>
        <n v="1618.4999999999998"/>
        <n v="1456.3199999999997"/>
        <n v="3340.1199999999994"/>
        <n v="4820.32"/>
        <n v="70.110000000000014"/>
        <n v="328.83000000000004"/>
        <n v="2137.67"/>
        <n v="9.9000000000000021"/>
        <n v="156.88"/>
        <n v="10131.440000000002"/>
        <n v="1265.4000000000001"/>
        <n v="594.38"/>
        <n v="1613.7000000000003"/>
        <n v="1013.2500000000001"/>
        <n v="140.90999999999997"/>
        <n v="3476.7900000000004"/>
        <n v="1832.2199999999998"/>
        <n v="356.40000000000003"/>
        <n v="1184.0200000000002"/>
        <n v="2876.9999999999995"/>
        <n v="2657.2200000000003"/>
        <n v="2489.7600000000002"/>
        <n v="644"/>
        <n v="567.84"/>
        <n v="1369.52"/>
        <n v="718.9"/>
        <n v="1568.12"/>
        <n v="160.71999999999997"/>
        <n v="265.59999999999997"/>
        <n v="1772.25"/>
        <n v="252.83999999999997"/>
        <n v="290.28000000000003"/>
        <n v="422.55"/>
        <n v="542.84999999999991"/>
        <n v="786.58"/>
        <n v="1206.8100000000002"/>
        <n v="585.00000000000011"/>
        <n v="806.59999999999991"/>
        <n v="2568.9999999999995"/>
        <n v="1294.4199999999998"/>
        <n v="121.59000000000002"/>
        <n v="670.4799999999999"/>
        <n v="767.97"/>
        <n v="382.79999999999995"/>
        <n v="1857.4499999999998"/>
        <n v="1442"/>
        <n v="321.3"/>
        <n v="585.9"/>
        <n v="32.450000000000003"/>
        <n v="473.29"/>
        <n v="13026.420000000002"/>
        <n v="2822.82"/>
        <n v="3304.6"/>
        <n v="334.47999999999996"/>
        <n v="605.72999999999979"/>
        <n v="3981.9799999999996"/>
        <n v="243.32000000000002"/>
        <n v="3803.9599999999991"/>
        <n v="6940.2000000000007"/>
        <n v="1388.82"/>
        <n v="1037.51"/>
        <n v="535.04"/>
        <n v="2398"/>
        <n v="1896.5599999999997"/>
        <n v="372.59999999999997"/>
        <n v="13.230000000000008"/>
        <n v="774.39999999999986"/>
        <n v="1435.2"/>
        <n v="5515.5399999999991"/>
        <n v="599.4"/>
        <n v="484.33000000000004"/>
        <n v="6321.0399999999991"/>
        <n v="1001.8999999999996"/>
        <n v="77.92"/>
        <n v="155"/>
        <n v="208.01"/>
        <n v="2829.0000000000005"/>
        <n v="508.98000000000008"/>
        <n v="26.009999999999998"/>
        <n v="405.44000000000011"/>
        <n v="587.25"/>
        <n v="1148.3999999999999"/>
        <n v="161.47"/>
        <n v="254.39999999999998"/>
        <n v="691.19999999999993"/>
        <n v="1830.7300000000002"/>
        <n v="821.09999999999991"/>
        <n v="249.89999999999995"/>
        <n v="2439.5099999999998"/>
        <n v="1052.9399999999998"/>
        <n v="1422.0800000000004"/>
        <n v="712.80999999999983"/>
        <n v="562.38000000000011"/>
        <n v="58.320000000000014"/>
        <n v="134.39999999999998"/>
        <n v="491.70000000000005"/>
        <n v="861.80000000000041"/>
        <n v="192.65999999999997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1">
  <r>
    <s v="PRD-1001"/>
    <x v="0"/>
    <x v="0"/>
    <x v="0"/>
    <n v="23.78"/>
    <n v="38.89"/>
    <n v="135"/>
    <x v="0"/>
    <n v="17"/>
    <n v="30"/>
    <x v="0"/>
    <n v="15.11"/>
    <n v="4589.0200000000004"/>
    <x v="0"/>
  </r>
  <r>
    <s v="PRD-1002"/>
    <x v="1"/>
    <x v="1"/>
    <x v="1"/>
    <n v="15.67"/>
    <n v="24.53"/>
    <n v="86"/>
    <x v="1"/>
    <n v="76"/>
    <n v="9"/>
    <x v="1"/>
    <n v="8.8600000000000012"/>
    <n v="245.3"/>
    <x v="1"/>
  </r>
  <r>
    <s v="PRD-1003"/>
    <x v="2"/>
    <x v="2"/>
    <x v="2"/>
    <n v="5.59"/>
    <n v="11.88"/>
    <n v="319"/>
    <x v="2"/>
    <n v="124"/>
    <n v="47"/>
    <x v="1"/>
    <n v="6.2900000000000009"/>
    <n v="2316.6000000000004"/>
    <x v="2"/>
  </r>
  <r>
    <s v="PRD-1004"/>
    <x v="3"/>
    <x v="3"/>
    <x v="3"/>
    <n v="9.7200000000000006"/>
    <n v="18.010000000000002"/>
    <n v="173"/>
    <x v="3"/>
    <n v="33"/>
    <n v="39"/>
    <x v="0"/>
    <n v="8.2900000000000009"/>
    <n v="2521.4"/>
    <x v="3"/>
  </r>
  <r>
    <s v="PRD-1005"/>
    <x v="4"/>
    <x v="0"/>
    <x v="1"/>
    <n v="8.2200000000000006"/>
    <n v="13.9"/>
    <n v="32"/>
    <x v="4"/>
    <n v="24"/>
    <n v="7"/>
    <x v="1"/>
    <n v="5.68"/>
    <n v="111.2"/>
    <x v="4"/>
  </r>
  <r>
    <s v="PRD-1006"/>
    <x v="5"/>
    <x v="4"/>
    <x v="2"/>
    <n v="6.94"/>
    <n v="12.18"/>
    <n v="74"/>
    <x v="5"/>
    <n v="22"/>
    <n v="15"/>
    <x v="1"/>
    <n v="5.2399999999999993"/>
    <n v="633.36"/>
    <x v="5"/>
  </r>
  <r>
    <s v="PRD-1007"/>
    <x v="6"/>
    <x v="0"/>
    <x v="3"/>
    <n v="6.74"/>
    <n v="13.47"/>
    <n v="21"/>
    <x v="6"/>
    <n v="15"/>
    <n v="2"/>
    <x v="1"/>
    <n v="6.73"/>
    <n v="80.820000000000007"/>
    <x v="6"/>
  </r>
  <r>
    <s v="PRD-1008"/>
    <x v="7"/>
    <x v="2"/>
    <x v="2"/>
    <n v="7.23"/>
    <n v="9.67"/>
    <n v="353"/>
    <x v="7"/>
    <n v="281"/>
    <n v="51"/>
    <x v="1"/>
    <n v="2.4399999999999995"/>
    <n v="696.24"/>
    <x v="7"/>
  </r>
  <r>
    <s v="PRD-1009"/>
    <x v="5"/>
    <x v="4"/>
    <x v="4"/>
    <n v="10.6"/>
    <n v="16.760000000000002"/>
    <n v="196"/>
    <x v="8"/>
    <n v="137"/>
    <n v="26"/>
    <x v="1"/>
    <n v="6.1600000000000019"/>
    <n v="988.84000000000015"/>
    <x v="8"/>
  </r>
  <r>
    <s v="PRD-1010"/>
    <x v="8"/>
    <x v="2"/>
    <x v="5"/>
    <n v="5.54"/>
    <n v="9.5399999999999991"/>
    <n v="38"/>
    <x v="9"/>
    <n v="24"/>
    <n v="4"/>
    <x v="1"/>
    <n v="3.9999999999999991"/>
    <n v="133.56"/>
    <x v="9"/>
  </r>
  <r>
    <s v="PRD-1011"/>
    <x v="9"/>
    <x v="0"/>
    <x v="5"/>
    <n v="9.67"/>
    <n v="14.73"/>
    <n v="150"/>
    <x v="10"/>
    <n v="67"/>
    <n v="28"/>
    <x v="1"/>
    <n v="5.0600000000000005"/>
    <n v="1222.5900000000001"/>
    <x v="10"/>
  </r>
  <r>
    <s v="PRD-1012"/>
    <x v="10"/>
    <x v="5"/>
    <x v="6"/>
    <n v="6.41"/>
    <n v="11.37"/>
    <n v="489"/>
    <x v="11"/>
    <n v="278"/>
    <n v="50"/>
    <x v="1"/>
    <n v="4.9599999999999991"/>
    <n v="2399.0699999999997"/>
    <x v="11"/>
  </r>
  <r>
    <s v="PRD-1013"/>
    <x v="11"/>
    <x v="4"/>
    <x v="0"/>
    <n v="11.77"/>
    <n v="25.18"/>
    <n v="139"/>
    <x v="9"/>
    <n v="125"/>
    <n v="22"/>
    <x v="1"/>
    <n v="13.41"/>
    <n v="352.52"/>
    <x v="12"/>
  </r>
  <r>
    <s v="PRD-1014"/>
    <x v="12"/>
    <x v="6"/>
    <x v="7"/>
    <n v="33.159999999999997"/>
    <n v="65.63"/>
    <n v="150"/>
    <x v="12"/>
    <n v="40"/>
    <n v="34"/>
    <x v="1"/>
    <n v="32.47"/>
    <n v="7219.2999999999993"/>
    <x v="13"/>
  </r>
  <r>
    <s v="PRD-1015"/>
    <x v="13"/>
    <x v="2"/>
    <x v="5"/>
    <n v="20.77"/>
    <n v="30.26"/>
    <n v="160"/>
    <x v="13"/>
    <n v="17"/>
    <n v="33"/>
    <x v="0"/>
    <n v="9.490000000000002"/>
    <n v="4327.18"/>
    <x v="14"/>
  </r>
  <r>
    <s v="PRD-1016"/>
    <x v="14"/>
    <x v="1"/>
    <x v="2"/>
    <n v="7.12"/>
    <n v="14.42"/>
    <n v="337"/>
    <x v="14"/>
    <n v="238"/>
    <n v="37"/>
    <x v="1"/>
    <n v="7.3"/>
    <n v="1427.58"/>
    <x v="15"/>
  </r>
  <r>
    <s v="PRD-1017"/>
    <x v="15"/>
    <x v="5"/>
    <x v="3"/>
    <n v="6.76"/>
    <n v="12.14"/>
    <n v="458"/>
    <x v="15"/>
    <n v="77"/>
    <n v="109"/>
    <x v="0"/>
    <n v="5.3800000000000008"/>
    <n v="4625.34"/>
    <x v="16"/>
  </r>
  <r>
    <s v="PRD-1018"/>
    <x v="16"/>
    <x v="0"/>
    <x v="6"/>
    <n v="6.4"/>
    <n v="12.71"/>
    <n v="470"/>
    <x v="16"/>
    <n v="124"/>
    <n v="51"/>
    <x v="1"/>
    <n v="6.3100000000000005"/>
    <n v="4397.66"/>
    <x v="17"/>
  </r>
  <r>
    <s v="PRD-1019"/>
    <x v="17"/>
    <x v="1"/>
    <x v="0"/>
    <n v="15.81"/>
    <n v="30.84"/>
    <n v="114"/>
    <x v="17"/>
    <n v="73"/>
    <n v="14"/>
    <x v="1"/>
    <n v="15.03"/>
    <n v="1264.44"/>
    <x v="18"/>
  </r>
  <r>
    <s v="PRD-1020"/>
    <x v="18"/>
    <x v="1"/>
    <x v="0"/>
    <n v="14.02"/>
    <n v="23.8"/>
    <n v="21"/>
    <x v="18"/>
    <n v="16"/>
    <n v="5"/>
    <x v="1"/>
    <n v="9.7800000000000011"/>
    <n v="119"/>
    <x v="19"/>
  </r>
  <r>
    <s v="PRD-1021"/>
    <x v="0"/>
    <x v="0"/>
    <x v="0"/>
    <n v="23.27"/>
    <n v="45.93"/>
    <n v="438"/>
    <x v="19"/>
    <n v="147"/>
    <n v="55"/>
    <x v="1"/>
    <n v="22.66"/>
    <n v="13365.63"/>
    <x v="20"/>
  </r>
  <r>
    <s v="PRD-1022"/>
    <x v="19"/>
    <x v="2"/>
    <x v="7"/>
    <n v="9.1999999999999993"/>
    <n v="17.899999999999999"/>
    <n v="466"/>
    <x v="20"/>
    <n v="375"/>
    <n v="49"/>
    <x v="1"/>
    <n v="8.6999999999999993"/>
    <n v="1628.8999999999999"/>
    <x v="21"/>
  </r>
  <r>
    <s v="PRD-1023"/>
    <x v="10"/>
    <x v="5"/>
    <x v="1"/>
    <n v="11.25"/>
    <n v="18.59"/>
    <n v="200"/>
    <x v="21"/>
    <n v="17"/>
    <n v="35"/>
    <x v="0"/>
    <n v="7.34"/>
    <n v="3401.97"/>
    <x v="22"/>
  </r>
  <r>
    <s v="PRD-1024"/>
    <x v="20"/>
    <x v="3"/>
    <x v="7"/>
    <n v="9.3699999999999992"/>
    <n v="19.14"/>
    <n v="32"/>
    <x v="22"/>
    <n v="10"/>
    <n v="5"/>
    <x v="1"/>
    <n v="9.7700000000000014"/>
    <n v="421.08000000000004"/>
    <x v="23"/>
  </r>
  <r>
    <s v="PRD-1025"/>
    <x v="21"/>
    <x v="2"/>
    <x v="7"/>
    <n v="4.2300000000000004"/>
    <n v="7.16"/>
    <n v="454"/>
    <x v="23"/>
    <n v="137"/>
    <n v="72"/>
    <x v="1"/>
    <n v="2.9299999999999997"/>
    <n v="2269.7200000000003"/>
    <x v="24"/>
  </r>
  <r>
    <s v="PRD-1026"/>
    <x v="22"/>
    <x v="3"/>
    <x v="8"/>
    <n v="5.16"/>
    <n v="9.85"/>
    <n v="452"/>
    <x v="24"/>
    <n v="193"/>
    <n v="88"/>
    <x v="1"/>
    <n v="4.6899999999999995"/>
    <n v="2551.15"/>
    <x v="25"/>
  </r>
  <r>
    <s v="PRD-1027"/>
    <x v="23"/>
    <x v="0"/>
    <x v="6"/>
    <n v="28.63"/>
    <n v="37.31"/>
    <n v="256"/>
    <x v="25"/>
    <n v="85"/>
    <n v="31"/>
    <x v="1"/>
    <n v="8.6800000000000033"/>
    <n v="6380.01"/>
    <x v="26"/>
  </r>
  <r>
    <s v="PRD-1028"/>
    <x v="24"/>
    <x v="5"/>
    <x v="2"/>
    <n v="3.29"/>
    <n v="4.8"/>
    <n v="270"/>
    <x v="26"/>
    <n v="168"/>
    <n v="63"/>
    <x v="1"/>
    <n v="1.5099999999999998"/>
    <n v="489.59999999999997"/>
    <x v="27"/>
  </r>
  <r>
    <s v="PRD-1029"/>
    <x v="25"/>
    <x v="5"/>
    <x v="7"/>
    <n v="5.84"/>
    <n v="12.09"/>
    <n v="46"/>
    <x v="27"/>
    <n v="14"/>
    <n v="9"/>
    <x v="1"/>
    <n v="6.25"/>
    <n v="386.88"/>
    <x v="28"/>
  </r>
  <r>
    <s v="PRD-1030"/>
    <x v="26"/>
    <x v="3"/>
    <x v="6"/>
    <n v="9.58"/>
    <n v="16.97"/>
    <n v="153"/>
    <x v="28"/>
    <n v="39"/>
    <n v="16"/>
    <x v="1"/>
    <n v="7.3899999999999988"/>
    <n v="1934.58"/>
    <x v="29"/>
  </r>
  <r>
    <s v="PRD-1031"/>
    <x v="27"/>
    <x v="7"/>
    <x v="0"/>
    <n v="25.35"/>
    <n v="49.22"/>
    <n v="245"/>
    <x v="29"/>
    <n v="86"/>
    <n v="42"/>
    <x v="1"/>
    <n v="23.869999999999997"/>
    <n v="7825.98"/>
    <x v="30"/>
  </r>
  <r>
    <s v="PRD-1032"/>
    <x v="28"/>
    <x v="7"/>
    <x v="1"/>
    <n v="34.159999999999997"/>
    <n v="61.03"/>
    <n v="40"/>
    <x v="30"/>
    <n v="24"/>
    <n v="9"/>
    <x v="1"/>
    <n v="26.870000000000005"/>
    <n v="976.48"/>
    <x v="31"/>
  </r>
  <r>
    <s v="PRD-1033"/>
    <x v="29"/>
    <x v="3"/>
    <x v="5"/>
    <n v="22.99"/>
    <n v="41.67"/>
    <n v="322"/>
    <x v="31"/>
    <n v="35"/>
    <n v="48"/>
    <x v="0"/>
    <n v="18.680000000000003"/>
    <n v="11959.29"/>
    <x v="32"/>
  </r>
  <r>
    <s v="PRD-1034"/>
    <x v="30"/>
    <x v="4"/>
    <x v="1"/>
    <n v="10.27"/>
    <n v="22.32"/>
    <n v="137"/>
    <x v="32"/>
    <n v="84"/>
    <n v="31"/>
    <x v="1"/>
    <n v="12.05"/>
    <n v="1182.96"/>
    <x v="33"/>
  </r>
  <r>
    <s v="PRD-1035"/>
    <x v="7"/>
    <x v="2"/>
    <x v="2"/>
    <n v="7.76"/>
    <n v="10.09"/>
    <n v="261"/>
    <x v="33"/>
    <n v="105"/>
    <n v="54"/>
    <x v="1"/>
    <n v="2.33"/>
    <n v="1574.04"/>
    <x v="34"/>
  </r>
  <r>
    <s v="PRD-1036"/>
    <x v="31"/>
    <x v="6"/>
    <x v="0"/>
    <n v="10.3"/>
    <n v="20.77"/>
    <n v="457"/>
    <x v="34"/>
    <n v="320"/>
    <n v="76"/>
    <x v="1"/>
    <n v="10.469999999999999"/>
    <n v="2845.49"/>
    <x v="35"/>
  </r>
  <r>
    <s v="PRD-1037"/>
    <x v="32"/>
    <x v="4"/>
    <x v="9"/>
    <n v="10.47"/>
    <n v="18.100000000000001"/>
    <n v="117"/>
    <x v="35"/>
    <n v="9"/>
    <n v="12"/>
    <x v="0"/>
    <n v="7.6300000000000008"/>
    <n v="1954.8000000000002"/>
    <x v="36"/>
  </r>
  <r>
    <s v="PRD-1038"/>
    <x v="33"/>
    <x v="6"/>
    <x v="7"/>
    <n v="27.01"/>
    <n v="48.6"/>
    <n v="381"/>
    <x v="36"/>
    <n v="55"/>
    <n v="38"/>
    <x v="1"/>
    <n v="21.59"/>
    <n v="15843.6"/>
    <x v="37"/>
  </r>
  <r>
    <s v="PRD-1039"/>
    <x v="34"/>
    <x v="4"/>
    <x v="8"/>
    <n v="1.98"/>
    <n v="3.78"/>
    <n v="42"/>
    <x v="37"/>
    <n v="17"/>
    <n v="4"/>
    <x v="1"/>
    <n v="1.7999999999999998"/>
    <n v="94.5"/>
    <x v="38"/>
  </r>
  <r>
    <s v="PRD-1040"/>
    <x v="35"/>
    <x v="4"/>
    <x v="6"/>
    <n v="11.71"/>
    <n v="22.03"/>
    <n v="122"/>
    <x v="38"/>
    <n v="89"/>
    <n v="12"/>
    <x v="1"/>
    <n v="10.32"/>
    <n v="726.99"/>
    <x v="39"/>
  </r>
  <r>
    <s v="PRD-1041"/>
    <x v="3"/>
    <x v="3"/>
    <x v="2"/>
    <n v="23.76"/>
    <n v="47.93"/>
    <n v="316"/>
    <x v="39"/>
    <n v="26"/>
    <n v="63"/>
    <x v="0"/>
    <n v="24.169999999999998"/>
    <n v="13899.7"/>
    <x v="40"/>
  </r>
  <r>
    <s v="PRD-1042"/>
    <x v="35"/>
    <x v="4"/>
    <x v="5"/>
    <n v="3.58"/>
    <n v="6.74"/>
    <n v="272"/>
    <x v="40"/>
    <n v="29"/>
    <n v="63"/>
    <x v="0"/>
    <n v="3.16"/>
    <n v="1637.8200000000002"/>
    <x v="41"/>
  </r>
  <r>
    <s v="PRD-1043"/>
    <x v="36"/>
    <x v="3"/>
    <x v="2"/>
    <n v="13.84"/>
    <n v="28.88"/>
    <n v="416"/>
    <x v="41"/>
    <n v="270"/>
    <n v="68"/>
    <x v="1"/>
    <n v="15.04"/>
    <n v="4216.4799999999996"/>
    <x v="42"/>
  </r>
  <r>
    <s v="PRD-1044"/>
    <x v="28"/>
    <x v="7"/>
    <x v="2"/>
    <n v="21.7"/>
    <n v="40.340000000000003"/>
    <n v="402"/>
    <x v="42"/>
    <n v="178"/>
    <n v="63"/>
    <x v="1"/>
    <n v="18.640000000000004"/>
    <n v="9036.16"/>
    <x v="43"/>
  </r>
  <r>
    <s v="PRD-1045"/>
    <x v="4"/>
    <x v="0"/>
    <x v="4"/>
    <n v="17.2"/>
    <n v="23.67"/>
    <n v="488"/>
    <x v="43"/>
    <n v="250"/>
    <n v="49"/>
    <x v="1"/>
    <n v="6.4700000000000024"/>
    <n v="5633.46"/>
    <x v="44"/>
  </r>
  <r>
    <s v="PRD-1046"/>
    <x v="37"/>
    <x v="6"/>
    <x v="7"/>
    <n v="24.64"/>
    <n v="41.77"/>
    <n v="42"/>
    <x v="44"/>
    <n v="4"/>
    <n v="5"/>
    <x v="0"/>
    <n v="17.130000000000003"/>
    <n v="1587.2600000000002"/>
    <x v="45"/>
  </r>
  <r>
    <s v="PRD-1047"/>
    <x v="38"/>
    <x v="2"/>
    <x v="6"/>
    <n v="1.1200000000000001"/>
    <n v="1.52"/>
    <n v="416"/>
    <x v="45"/>
    <n v="130"/>
    <n v="93"/>
    <x v="1"/>
    <n v="0.39999999999999991"/>
    <n v="434.72"/>
    <x v="46"/>
  </r>
  <r>
    <s v="PRD-1048"/>
    <x v="4"/>
    <x v="0"/>
    <x v="7"/>
    <n v="20.97"/>
    <n v="28.82"/>
    <n v="156"/>
    <x v="46"/>
    <n v="80"/>
    <n v="33"/>
    <x v="1"/>
    <n v="7.8500000000000014"/>
    <n v="2190.3200000000002"/>
    <x v="47"/>
  </r>
  <r>
    <s v="PRD-1049"/>
    <x v="39"/>
    <x v="4"/>
    <x v="4"/>
    <n v="8.33"/>
    <n v="12.46"/>
    <n v="332"/>
    <x v="47"/>
    <n v="167"/>
    <n v="64"/>
    <x v="1"/>
    <n v="4.1300000000000008"/>
    <n v="2055.9"/>
    <x v="48"/>
  </r>
  <r>
    <s v="PRD-1050"/>
    <x v="20"/>
    <x v="3"/>
    <x v="5"/>
    <n v="14.05"/>
    <n v="30.39"/>
    <n v="291"/>
    <x v="48"/>
    <n v="162"/>
    <n v="40"/>
    <x v="1"/>
    <n v="16.34"/>
    <n v="3920.31"/>
    <x v="49"/>
  </r>
  <r>
    <s v="PRD-1051"/>
    <x v="22"/>
    <x v="3"/>
    <x v="5"/>
    <n v="16.8"/>
    <n v="22.4"/>
    <n v="165"/>
    <x v="49"/>
    <n v="110"/>
    <n v="17"/>
    <x v="1"/>
    <n v="5.5999999999999979"/>
    <n v="1232"/>
    <x v="50"/>
  </r>
  <r>
    <s v="PRD-1052"/>
    <x v="22"/>
    <x v="3"/>
    <x v="4"/>
    <n v="3.96"/>
    <n v="5.92"/>
    <n v="46"/>
    <x v="50"/>
    <n v="37"/>
    <n v="9"/>
    <x v="1"/>
    <n v="1.96"/>
    <n v="53.28"/>
    <x v="51"/>
  </r>
  <r>
    <s v="PRD-1053"/>
    <x v="40"/>
    <x v="7"/>
    <x v="7"/>
    <n v="77.739999999999995"/>
    <n v="129.41"/>
    <n v="153"/>
    <x v="51"/>
    <n v="78"/>
    <n v="16"/>
    <x v="1"/>
    <n v="51.67"/>
    <n v="9705.75"/>
    <x v="52"/>
  </r>
  <r>
    <s v="PRD-1054"/>
    <x v="41"/>
    <x v="2"/>
    <x v="5"/>
    <n v="11.5"/>
    <n v="15.55"/>
    <n v="65"/>
    <x v="52"/>
    <n v="22"/>
    <n v="10"/>
    <x v="1"/>
    <n v="4.0500000000000007"/>
    <n v="668.65"/>
    <x v="53"/>
  </r>
  <r>
    <s v="PRD-1055"/>
    <x v="42"/>
    <x v="6"/>
    <x v="2"/>
    <n v="8.86"/>
    <n v="18.82"/>
    <n v="392"/>
    <x v="17"/>
    <n v="351"/>
    <n v="81"/>
    <x v="1"/>
    <n v="9.9600000000000009"/>
    <n v="771.62"/>
    <x v="54"/>
  </r>
  <r>
    <s v="PRD-1056"/>
    <x v="11"/>
    <x v="4"/>
    <x v="8"/>
    <n v="5.56"/>
    <n v="7.44"/>
    <n v="144"/>
    <x v="53"/>
    <n v="50"/>
    <n v="20"/>
    <x v="1"/>
    <n v="1.8800000000000008"/>
    <n v="699.36"/>
    <x v="55"/>
  </r>
  <r>
    <s v="PRD-1057"/>
    <x v="43"/>
    <x v="7"/>
    <x v="1"/>
    <n v="60.97"/>
    <n v="89.21"/>
    <n v="385"/>
    <x v="54"/>
    <n v="227"/>
    <n v="75"/>
    <x v="1"/>
    <n v="28.239999999999995"/>
    <n v="14095.179999999998"/>
    <x v="56"/>
  </r>
  <r>
    <s v="PRD-1058"/>
    <x v="19"/>
    <x v="2"/>
    <x v="2"/>
    <n v="5.18"/>
    <n v="8.67"/>
    <n v="222"/>
    <x v="55"/>
    <n v="185"/>
    <n v="44"/>
    <x v="1"/>
    <n v="3.49"/>
    <n v="320.79000000000002"/>
    <x v="57"/>
  </r>
  <r>
    <s v="PRD-1059"/>
    <x v="21"/>
    <x v="2"/>
    <x v="4"/>
    <n v="22.87"/>
    <n v="32.799999999999997"/>
    <n v="34"/>
    <x v="56"/>
    <n v="23"/>
    <n v="5"/>
    <x v="1"/>
    <n v="9.9299999999999962"/>
    <n v="360.79999999999995"/>
    <x v="58"/>
  </r>
  <r>
    <s v="PRD-1060"/>
    <x v="44"/>
    <x v="1"/>
    <x v="2"/>
    <n v="15.35"/>
    <n v="25.52"/>
    <n v="409"/>
    <x v="10"/>
    <n v="326"/>
    <n v="89"/>
    <x v="1"/>
    <n v="10.17"/>
    <n v="2118.16"/>
    <x v="59"/>
  </r>
  <r>
    <s v="PRD-1061"/>
    <x v="7"/>
    <x v="2"/>
    <x v="0"/>
    <n v="23.78"/>
    <n v="39.71"/>
    <n v="148"/>
    <x v="10"/>
    <n v="65"/>
    <n v="30"/>
    <x v="1"/>
    <n v="15.93"/>
    <n v="3295.9300000000003"/>
    <x v="60"/>
  </r>
  <r>
    <s v="PRD-1062"/>
    <x v="39"/>
    <x v="4"/>
    <x v="7"/>
    <n v="8.08"/>
    <n v="14.43"/>
    <n v="62"/>
    <x v="57"/>
    <n v="6"/>
    <n v="9"/>
    <x v="0"/>
    <n v="6.35"/>
    <n v="808.07999999999993"/>
    <x v="61"/>
  </r>
  <r>
    <s v="PRD-1063"/>
    <x v="13"/>
    <x v="2"/>
    <x v="5"/>
    <n v="22.91"/>
    <n v="40.42"/>
    <n v="75"/>
    <x v="58"/>
    <n v="10"/>
    <n v="17"/>
    <x v="0"/>
    <n v="17.510000000000002"/>
    <n v="2627.3"/>
    <x v="62"/>
  </r>
  <r>
    <s v="PRD-1064"/>
    <x v="6"/>
    <x v="0"/>
    <x v="3"/>
    <n v="11.4"/>
    <n v="24.77"/>
    <n v="207"/>
    <x v="0"/>
    <n v="89"/>
    <n v="21"/>
    <x v="1"/>
    <n v="13.37"/>
    <n v="2922.86"/>
    <x v="63"/>
  </r>
  <r>
    <s v="PRD-1065"/>
    <x v="45"/>
    <x v="5"/>
    <x v="2"/>
    <n v="2.4900000000000002"/>
    <n v="3.88"/>
    <n v="131"/>
    <x v="59"/>
    <n v="27"/>
    <n v="20"/>
    <x v="1"/>
    <n v="1.3899999999999997"/>
    <n v="403.52"/>
    <x v="64"/>
  </r>
  <r>
    <s v="PRD-1066"/>
    <x v="5"/>
    <x v="4"/>
    <x v="1"/>
    <n v="10.86"/>
    <n v="21.62"/>
    <n v="216"/>
    <x v="60"/>
    <n v="97"/>
    <n v="25"/>
    <x v="1"/>
    <n v="10.760000000000002"/>
    <n v="2572.7800000000002"/>
    <x v="65"/>
  </r>
  <r>
    <s v="PRD-1067"/>
    <x v="46"/>
    <x v="7"/>
    <x v="9"/>
    <n v="65.400000000000006"/>
    <n v="92.21"/>
    <n v="188"/>
    <x v="61"/>
    <n v="130"/>
    <n v="22"/>
    <x v="1"/>
    <n v="26.809999999999988"/>
    <n v="5348.1799999999994"/>
    <x v="66"/>
  </r>
  <r>
    <s v="PRD-1068"/>
    <x v="22"/>
    <x v="3"/>
    <x v="4"/>
    <n v="14.11"/>
    <n v="21.45"/>
    <n v="232"/>
    <x v="62"/>
    <n v="26"/>
    <n v="26"/>
    <x v="0"/>
    <n v="7.34"/>
    <n v="4418.7"/>
    <x v="67"/>
  </r>
  <r>
    <s v="PRD-1069"/>
    <x v="47"/>
    <x v="4"/>
    <x v="3"/>
    <n v="6.88"/>
    <n v="10.96"/>
    <n v="189"/>
    <x v="63"/>
    <n v="92"/>
    <n v="41"/>
    <x v="1"/>
    <n v="4.080000000000001"/>
    <n v="1063.1200000000001"/>
    <x v="68"/>
  </r>
  <r>
    <s v="PRD-1070"/>
    <x v="48"/>
    <x v="5"/>
    <x v="4"/>
    <n v="2.27"/>
    <n v="3.49"/>
    <n v="241"/>
    <x v="64"/>
    <n v="211"/>
    <n v="28"/>
    <x v="1"/>
    <n v="1.2200000000000002"/>
    <n v="104.7"/>
    <x v="69"/>
  </r>
  <r>
    <s v="PRD-1071"/>
    <x v="49"/>
    <x v="6"/>
    <x v="9"/>
    <n v="31.63"/>
    <n v="52.56"/>
    <n v="172"/>
    <x v="65"/>
    <n v="153"/>
    <n v="32"/>
    <x v="1"/>
    <n v="20.930000000000003"/>
    <n v="998.6400000000001"/>
    <x v="70"/>
  </r>
  <r>
    <s v="PRD-1072"/>
    <x v="50"/>
    <x v="3"/>
    <x v="1"/>
    <n v="21.3"/>
    <n v="38.340000000000003"/>
    <n v="104"/>
    <x v="66"/>
    <n v="78"/>
    <n v="19"/>
    <x v="1"/>
    <n v="17.040000000000003"/>
    <n v="996.84000000000015"/>
    <x v="71"/>
  </r>
  <r>
    <s v="PRD-1073"/>
    <x v="14"/>
    <x v="1"/>
    <x v="0"/>
    <n v="1"/>
    <n v="1.64"/>
    <n v="305"/>
    <x v="14"/>
    <n v="206"/>
    <n v="69"/>
    <x v="1"/>
    <n v="0.6399999999999999"/>
    <n v="162.35999999999999"/>
    <x v="72"/>
  </r>
  <r>
    <s v="PRD-1074"/>
    <x v="51"/>
    <x v="5"/>
    <x v="5"/>
    <n v="9.9700000000000006"/>
    <n v="13.17"/>
    <n v="63"/>
    <x v="44"/>
    <n v="25"/>
    <n v="14"/>
    <x v="1"/>
    <n v="3.1999999999999993"/>
    <n v="500.46"/>
    <x v="73"/>
  </r>
  <r>
    <s v="PRD-1075"/>
    <x v="28"/>
    <x v="7"/>
    <x v="7"/>
    <n v="9.52"/>
    <n v="13.38"/>
    <n v="434"/>
    <x v="67"/>
    <n v="229"/>
    <n v="71"/>
    <x v="1"/>
    <n v="3.8600000000000012"/>
    <n v="2742.9"/>
    <x v="74"/>
  </r>
  <r>
    <s v="PRD-1076"/>
    <x v="40"/>
    <x v="7"/>
    <x v="8"/>
    <n v="74.16"/>
    <n v="100.42"/>
    <n v="294"/>
    <x v="51"/>
    <n v="219"/>
    <n v="48"/>
    <x v="1"/>
    <n v="26.260000000000005"/>
    <n v="7531.5"/>
    <x v="75"/>
  </r>
  <r>
    <s v="PRD-1077"/>
    <x v="38"/>
    <x v="2"/>
    <x v="2"/>
    <n v="1.79"/>
    <n v="3.33"/>
    <n v="111"/>
    <x v="52"/>
    <n v="68"/>
    <n v="17"/>
    <x v="1"/>
    <n v="1.54"/>
    <n v="143.19"/>
    <x v="76"/>
  </r>
  <r>
    <s v="PRD-1078"/>
    <x v="2"/>
    <x v="2"/>
    <x v="0"/>
    <n v="24.03"/>
    <n v="49.91"/>
    <n v="455"/>
    <x v="68"/>
    <n v="277"/>
    <n v="52"/>
    <x v="1"/>
    <n v="25.879999999999995"/>
    <n v="8883.98"/>
    <x v="77"/>
  </r>
  <r>
    <s v="PRD-1079"/>
    <x v="18"/>
    <x v="1"/>
    <x v="2"/>
    <n v="19.239999999999998"/>
    <n v="31.22"/>
    <n v="68"/>
    <x v="30"/>
    <n v="52"/>
    <n v="13"/>
    <x v="1"/>
    <n v="11.98"/>
    <n v="499.52"/>
    <x v="78"/>
  </r>
  <r>
    <s v="PRD-1080"/>
    <x v="34"/>
    <x v="4"/>
    <x v="2"/>
    <n v="7.32"/>
    <n v="14.41"/>
    <n v="197"/>
    <x v="69"/>
    <n v="47"/>
    <n v="48"/>
    <x v="0"/>
    <n v="7.09"/>
    <n v="2161.5"/>
    <x v="79"/>
  </r>
  <r>
    <s v="PRD-1081"/>
    <x v="52"/>
    <x v="1"/>
    <x v="2"/>
    <n v="15.67"/>
    <n v="28.28"/>
    <n v="323"/>
    <x v="48"/>
    <n v="194"/>
    <n v="41"/>
    <x v="1"/>
    <n v="12.610000000000001"/>
    <n v="3648.1200000000003"/>
    <x v="80"/>
  </r>
  <r>
    <s v="PRD-1082"/>
    <x v="49"/>
    <x v="6"/>
    <x v="8"/>
    <n v="24.31"/>
    <n v="41.12"/>
    <n v="155"/>
    <x v="8"/>
    <n v="96"/>
    <n v="21"/>
    <x v="1"/>
    <n v="16.809999999999999"/>
    <n v="2426.08"/>
    <x v="81"/>
  </r>
  <r>
    <s v="PRD-1083"/>
    <x v="53"/>
    <x v="7"/>
    <x v="4"/>
    <n v="59"/>
    <n v="105.65"/>
    <n v="216"/>
    <x v="70"/>
    <n v="134"/>
    <n v="25"/>
    <x v="1"/>
    <n v="46.650000000000006"/>
    <n v="8663.3000000000011"/>
    <x v="82"/>
  </r>
  <r>
    <s v="PRD-1084"/>
    <x v="54"/>
    <x v="6"/>
    <x v="5"/>
    <n v="26.39"/>
    <n v="44.2"/>
    <n v="57"/>
    <x v="71"/>
    <n v="15"/>
    <n v="13"/>
    <x v="1"/>
    <n v="17.810000000000002"/>
    <n v="1856.4"/>
    <x v="83"/>
  </r>
  <r>
    <s v="PRD-1085"/>
    <x v="32"/>
    <x v="4"/>
    <x v="9"/>
    <n v="11.99"/>
    <n v="15.87"/>
    <n v="349"/>
    <x v="72"/>
    <n v="197"/>
    <n v="79"/>
    <x v="1"/>
    <n v="3.879999999999999"/>
    <n v="2412.2399999999998"/>
    <x v="84"/>
  </r>
  <r>
    <s v="PRD-1086"/>
    <x v="55"/>
    <x v="1"/>
    <x v="6"/>
    <n v="10.36"/>
    <n v="15.48"/>
    <n v="193"/>
    <x v="73"/>
    <n v="77"/>
    <n v="45"/>
    <x v="1"/>
    <n v="5.120000000000001"/>
    <n v="1795.68"/>
    <x v="85"/>
  </r>
  <r>
    <s v="PRD-1087"/>
    <x v="10"/>
    <x v="5"/>
    <x v="1"/>
    <n v="3.94"/>
    <n v="6.62"/>
    <n v="227"/>
    <x v="73"/>
    <n v="111"/>
    <n v="49"/>
    <x v="1"/>
    <n v="2.68"/>
    <n v="767.92"/>
    <x v="86"/>
  </r>
  <r>
    <s v="PRD-1088"/>
    <x v="56"/>
    <x v="7"/>
    <x v="1"/>
    <n v="36.99"/>
    <n v="72.16"/>
    <n v="485"/>
    <x v="74"/>
    <n v="73"/>
    <n v="67"/>
    <x v="1"/>
    <n v="35.169999999999995"/>
    <n v="29729.919999999998"/>
    <x v="87"/>
  </r>
  <r>
    <s v="PRD-1089"/>
    <x v="7"/>
    <x v="2"/>
    <x v="5"/>
    <n v="4.2"/>
    <n v="6.14"/>
    <n v="201"/>
    <x v="75"/>
    <n v="180"/>
    <n v="46"/>
    <x v="1"/>
    <n v="1.9399999999999995"/>
    <n v="128.94"/>
    <x v="88"/>
  </r>
  <r>
    <s v="PRD-1090"/>
    <x v="16"/>
    <x v="0"/>
    <x v="0"/>
    <n v="12.24"/>
    <n v="21.52"/>
    <n v="42"/>
    <x v="76"/>
    <n v="35"/>
    <n v="5"/>
    <x v="1"/>
    <n v="9.2799999999999994"/>
    <n v="150.63999999999999"/>
    <x v="89"/>
  </r>
  <r>
    <s v="PRD-1091"/>
    <x v="57"/>
    <x v="6"/>
    <x v="2"/>
    <n v="34.409999999999997"/>
    <n v="46.82"/>
    <n v="59"/>
    <x v="44"/>
    <n v="21"/>
    <n v="8"/>
    <x v="1"/>
    <n v="12.410000000000004"/>
    <n v="1779.16"/>
    <x v="90"/>
  </r>
  <r>
    <s v="PRD-1092"/>
    <x v="3"/>
    <x v="3"/>
    <x v="2"/>
    <n v="23.75"/>
    <n v="33.69"/>
    <n v="61"/>
    <x v="77"/>
    <n v="13"/>
    <n v="12"/>
    <x v="1"/>
    <n v="9.9399999999999977"/>
    <n v="1617.12"/>
    <x v="91"/>
  </r>
  <r>
    <s v="PRD-1093"/>
    <x v="18"/>
    <x v="1"/>
    <x v="9"/>
    <n v="5.53"/>
    <n v="9.7200000000000006"/>
    <n v="499"/>
    <x v="78"/>
    <n v="366"/>
    <n v="102"/>
    <x v="1"/>
    <n v="4.1900000000000004"/>
    <n v="1292.76"/>
    <x v="92"/>
  </r>
  <r>
    <s v="PRD-1094"/>
    <x v="58"/>
    <x v="6"/>
    <x v="8"/>
    <n v="13.56"/>
    <n v="23.12"/>
    <n v="25"/>
    <x v="79"/>
    <n v="8"/>
    <n v="3"/>
    <x v="1"/>
    <n v="9.56"/>
    <n v="393.04"/>
    <x v="93"/>
  </r>
  <r>
    <s v="PRD-1095"/>
    <x v="18"/>
    <x v="1"/>
    <x v="6"/>
    <n v="2.73"/>
    <n v="5.71"/>
    <n v="276"/>
    <x v="80"/>
    <n v="175"/>
    <n v="36"/>
    <x v="1"/>
    <n v="2.98"/>
    <n v="576.71"/>
    <x v="94"/>
  </r>
  <r>
    <s v="PRD-1096"/>
    <x v="59"/>
    <x v="0"/>
    <x v="1"/>
    <n v="18.5"/>
    <n v="39.69"/>
    <n v="130"/>
    <x v="81"/>
    <n v="91"/>
    <n v="31"/>
    <x v="1"/>
    <n v="21.189999999999998"/>
    <n v="1547.9099999999999"/>
    <x v="95"/>
  </r>
  <r>
    <s v="PRD-1097"/>
    <x v="49"/>
    <x v="6"/>
    <x v="7"/>
    <n v="4.47"/>
    <n v="9.16"/>
    <n v="73"/>
    <x v="27"/>
    <n v="41"/>
    <n v="14"/>
    <x v="1"/>
    <n v="4.6900000000000004"/>
    <n v="293.12"/>
    <x v="96"/>
  </r>
  <r>
    <s v="PRD-1098"/>
    <x v="29"/>
    <x v="3"/>
    <x v="2"/>
    <n v="13.4"/>
    <n v="17.420000000000002"/>
    <n v="353"/>
    <x v="54"/>
    <n v="195"/>
    <n v="60"/>
    <x v="1"/>
    <n v="4.0200000000000014"/>
    <n v="2752.36"/>
    <x v="97"/>
  </r>
  <r>
    <s v="PRD-1099"/>
    <x v="60"/>
    <x v="1"/>
    <x v="2"/>
    <n v="7.45"/>
    <n v="13.67"/>
    <n v="130"/>
    <x v="57"/>
    <n v="74"/>
    <n v="14"/>
    <x v="1"/>
    <n v="6.22"/>
    <n v="765.52"/>
    <x v="98"/>
  </r>
  <r>
    <s v="PRD-1100"/>
    <x v="37"/>
    <x v="6"/>
    <x v="1"/>
    <n v="30.91"/>
    <n v="47.77"/>
    <n v="486"/>
    <x v="82"/>
    <n v="135"/>
    <n v="74"/>
    <x v="1"/>
    <n v="16.860000000000003"/>
    <n v="16767.27"/>
    <x v="99"/>
  </r>
  <r>
    <s v="PRD-1101"/>
    <x v="32"/>
    <x v="4"/>
    <x v="7"/>
    <n v="9.8800000000000008"/>
    <n v="15.47"/>
    <n v="277"/>
    <x v="83"/>
    <n v="123"/>
    <n v="60"/>
    <x v="1"/>
    <n v="5.59"/>
    <n v="2382.38"/>
    <x v="100"/>
  </r>
  <r>
    <s v="PRD-1102"/>
    <x v="12"/>
    <x v="6"/>
    <x v="2"/>
    <n v="11.55"/>
    <n v="24.87"/>
    <n v="163"/>
    <x v="84"/>
    <n v="15"/>
    <n v="31"/>
    <x v="0"/>
    <n v="13.32"/>
    <n v="3680.76"/>
    <x v="101"/>
  </r>
  <r>
    <s v="PRD-1103"/>
    <x v="1"/>
    <x v="1"/>
    <x v="4"/>
    <n v="3.66"/>
    <n v="5.64"/>
    <n v="440"/>
    <x v="13"/>
    <n v="297"/>
    <n v="64"/>
    <x v="1"/>
    <n v="1.9799999999999995"/>
    <n v="806.52"/>
    <x v="102"/>
  </r>
  <r>
    <s v="PRD-1104"/>
    <x v="28"/>
    <x v="7"/>
    <x v="9"/>
    <n v="35.15"/>
    <n v="48.36"/>
    <n v="331"/>
    <x v="85"/>
    <n v="55"/>
    <n v="63"/>
    <x v="0"/>
    <n v="13.21"/>
    <n v="13347.36"/>
    <x v="103"/>
  </r>
  <r>
    <s v="PRD-1105"/>
    <x v="35"/>
    <x v="4"/>
    <x v="1"/>
    <n v="7.58"/>
    <n v="12.38"/>
    <n v="195"/>
    <x v="68"/>
    <n v="17"/>
    <n v="28"/>
    <x v="0"/>
    <n v="4.8000000000000007"/>
    <n v="2203.6400000000003"/>
    <x v="104"/>
  </r>
  <r>
    <s v="PRD-1106"/>
    <x v="9"/>
    <x v="0"/>
    <x v="7"/>
    <n v="2.21"/>
    <n v="4.6900000000000004"/>
    <n v="400"/>
    <x v="86"/>
    <n v="312"/>
    <n v="67"/>
    <x v="1"/>
    <n v="2.4800000000000004"/>
    <n v="412.72"/>
    <x v="105"/>
  </r>
  <r>
    <s v="PRD-1107"/>
    <x v="60"/>
    <x v="1"/>
    <x v="9"/>
    <n v="11.37"/>
    <n v="17.739999999999998"/>
    <n v="234"/>
    <x v="87"/>
    <n v="57"/>
    <n v="27"/>
    <x v="1"/>
    <n v="6.3699999999999992"/>
    <n v="3139.9799999999996"/>
    <x v="106"/>
  </r>
  <r>
    <s v="PRD-1108"/>
    <x v="43"/>
    <x v="7"/>
    <x v="7"/>
    <n v="4.1100000000000003"/>
    <n v="5.92"/>
    <n v="194"/>
    <x v="71"/>
    <n v="152"/>
    <n v="41"/>
    <x v="1"/>
    <n v="1.8099999999999996"/>
    <n v="248.64"/>
    <x v="107"/>
  </r>
  <r>
    <s v="PRD-1109"/>
    <x v="51"/>
    <x v="5"/>
    <x v="0"/>
    <n v="0.67"/>
    <n v="1.39"/>
    <n v="478"/>
    <x v="88"/>
    <n v="241"/>
    <n v="60"/>
    <x v="1"/>
    <n v="0.71999999999999986"/>
    <n v="329.42999999999995"/>
    <x v="108"/>
  </r>
  <r>
    <s v="PRD-1110"/>
    <x v="61"/>
    <x v="0"/>
    <x v="5"/>
    <n v="12.78"/>
    <n v="20.52"/>
    <n v="457"/>
    <x v="89"/>
    <n v="135"/>
    <n v="113"/>
    <x v="1"/>
    <n v="7.74"/>
    <n v="6607.44"/>
    <x v="109"/>
  </r>
  <r>
    <s v="PRD-1111"/>
    <x v="40"/>
    <x v="7"/>
    <x v="5"/>
    <n v="22.37"/>
    <n v="36.57"/>
    <n v="105"/>
    <x v="90"/>
    <n v="78"/>
    <n v="21"/>
    <x v="1"/>
    <n v="14.2"/>
    <n v="987.39"/>
    <x v="110"/>
  </r>
  <r>
    <s v="PRD-1112"/>
    <x v="57"/>
    <x v="6"/>
    <x v="7"/>
    <n v="21.84"/>
    <n v="30.35"/>
    <n v="490"/>
    <x v="61"/>
    <n v="432"/>
    <n v="65"/>
    <x v="1"/>
    <n v="8.5100000000000016"/>
    <n v="1760.3000000000002"/>
    <x v="111"/>
  </r>
  <r>
    <s v="PRD-1113"/>
    <x v="35"/>
    <x v="4"/>
    <x v="6"/>
    <n v="4.4400000000000004"/>
    <n v="9.33"/>
    <n v="463"/>
    <x v="87"/>
    <n v="286"/>
    <n v="60"/>
    <x v="1"/>
    <n v="4.8899999999999997"/>
    <n v="1651.41"/>
    <x v="112"/>
  </r>
  <r>
    <s v="PRD-1114"/>
    <x v="62"/>
    <x v="7"/>
    <x v="3"/>
    <n v="11.71"/>
    <n v="20.52"/>
    <n v="94"/>
    <x v="55"/>
    <n v="57"/>
    <n v="17"/>
    <x v="1"/>
    <n v="8.8099999999999987"/>
    <n v="759.24"/>
    <x v="113"/>
  </r>
  <r>
    <s v="PRD-1115"/>
    <x v="34"/>
    <x v="4"/>
    <x v="2"/>
    <n v="7.52"/>
    <n v="13.57"/>
    <n v="296"/>
    <x v="14"/>
    <n v="197"/>
    <n v="33"/>
    <x v="1"/>
    <n v="6.0500000000000007"/>
    <n v="1343.43"/>
    <x v="114"/>
  </r>
  <r>
    <s v="PRD-1116"/>
    <x v="17"/>
    <x v="1"/>
    <x v="7"/>
    <n v="4.0199999999999996"/>
    <n v="6.5"/>
    <n v="83"/>
    <x v="91"/>
    <n v="10"/>
    <n v="19"/>
    <x v="0"/>
    <n v="2.4800000000000004"/>
    <n v="474.5"/>
    <x v="115"/>
  </r>
  <r>
    <s v="PRD-1117"/>
    <x v="49"/>
    <x v="6"/>
    <x v="9"/>
    <n v="16.59"/>
    <n v="35.35"/>
    <n v="97"/>
    <x v="27"/>
    <n v="65"/>
    <n v="12"/>
    <x v="1"/>
    <n v="18.760000000000002"/>
    <n v="1131.2"/>
    <x v="116"/>
  </r>
  <r>
    <s v="PRD-1118"/>
    <x v="33"/>
    <x v="6"/>
    <x v="0"/>
    <n v="6.17"/>
    <n v="10.82"/>
    <n v="397"/>
    <x v="92"/>
    <n v="118"/>
    <n v="44"/>
    <x v="1"/>
    <n v="4.6500000000000004"/>
    <n v="3018.78"/>
    <x v="117"/>
  </r>
  <r>
    <s v="PRD-1119"/>
    <x v="54"/>
    <x v="6"/>
    <x v="0"/>
    <n v="20.88"/>
    <n v="31.41"/>
    <n v="216"/>
    <x v="93"/>
    <n v="156"/>
    <n v="29"/>
    <x v="1"/>
    <n v="10.530000000000001"/>
    <n v="1884.6"/>
    <x v="118"/>
  </r>
  <r>
    <s v="PRD-1120"/>
    <x v="55"/>
    <x v="1"/>
    <x v="3"/>
    <n v="19.29"/>
    <n v="28.17"/>
    <n v="126"/>
    <x v="94"/>
    <n v="90"/>
    <n v="30"/>
    <x v="1"/>
    <n v="8.8800000000000026"/>
    <n v="1014.1200000000001"/>
    <x v="119"/>
  </r>
  <r>
    <s v="PRD-1121"/>
    <x v="46"/>
    <x v="7"/>
    <x v="4"/>
    <n v="67.599999999999994"/>
    <n v="133.03"/>
    <n v="412"/>
    <x v="95"/>
    <n v="213"/>
    <n v="85"/>
    <x v="1"/>
    <n v="65.430000000000007"/>
    <n v="26472.97"/>
    <x v="120"/>
  </r>
  <r>
    <s v="PRD-1122"/>
    <x v="63"/>
    <x v="2"/>
    <x v="8"/>
    <n v="7.58"/>
    <n v="11.72"/>
    <n v="423"/>
    <x v="87"/>
    <n v="246"/>
    <n v="80"/>
    <x v="1"/>
    <n v="4.1400000000000006"/>
    <n v="2074.44"/>
    <x v="121"/>
  </r>
  <r>
    <s v="PRD-1123"/>
    <x v="20"/>
    <x v="3"/>
    <x v="8"/>
    <n v="18.64"/>
    <n v="25.42"/>
    <n v="362"/>
    <x v="96"/>
    <n v="130"/>
    <n v="37"/>
    <x v="1"/>
    <n v="6.7800000000000011"/>
    <n v="5897.4400000000005"/>
    <x v="122"/>
  </r>
  <r>
    <s v="PRD-1124"/>
    <x v="41"/>
    <x v="2"/>
    <x v="9"/>
    <n v="8.82"/>
    <n v="16.82"/>
    <n v="216"/>
    <x v="58"/>
    <n v="151"/>
    <n v="23"/>
    <x v="1"/>
    <n v="8"/>
    <n v="1093.3"/>
    <x v="123"/>
  </r>
  <r>
    <s v="PRD-1125"/>
    <x v="64"/>
    <x v="2"/>
    <x v="3"/>
    <n v="20.14"/>
    <n v="34.549999999999997"/>
    <n v="169"/>
    <x v="86"/>
    <n v="81"/>
    <n v="26"/>
    <x v="1"/>
    <n v="14.409999999999997"/>
    <n v="3040.3999999999996"/>
    <x v="124"/>
  </r>
  <r>
    <s v="PRD-1126"/>
    <x v="65"/>
    <x v="1"/>
    <x v="4"/>
    <n v="17.82"/>
    <n v="32.299999999999997"/>
    <n v="74"/>
    <x v="97"/>
    <n v="11"/>
    <n v="15"/>
    <x v="0"/>
    <n v="14.479999999999997"/>
    <n v="2034.8999999999999"/>
    <x v="125"/>
  </r>
  <r>
    <s v="PRD-1127"/>
    <x v="29"/>
    <x v="3"/>
    <x v="3"/>
    <n v="10.9"/>
    <n v="15.35"/>
    <n v="398"/>
    <x v="98"/>
    <n v="134"/>
    <n v="47"/>
    <x v="1"/>
    <n v="4.4499999999999993"/>
    <n v="4052.4"/>
    <x v="126"/>
  </r>
  <r>
    <s v="PRD-1128"/>
    <x v="63"/>
    <x v="2"/>
    <x v="8"/>
    <n v="18.48"/>
    <n v="36.700000000000003"/>
    <n v="320"/>
    <x v="99"/>
    <n v="224"/>
    <n v="41"/>
    <x v="1"/>
    <n v="18.220000000000002"/>
    <n v="3523.2000000000003"/>
    <x v="127"/>
  </r>
  <r>
    <s v="PRD-1129"/>
    <x v="43"/>
    <x v="7"/>
    <x v="3"/>
    <n v="11.36"/>
    <n v="20.12"/>
    <n v="177"/>
    <x v="100"/>
    <n v="87"/>
    <n v="32"/>
    <x v="1"/>
    <n v="8.7600000000000016"/>
    <n v="1810.8000000000002"/>
    <x v="128"/>
  </r>
  <r>
    <s v="PRD-1130"/>
    <x v="66"/>
    <x v="3"/>
    <x v="8"/>
    <n v="6.67"/>
    <n v="14.55"/>
    <n v="100"/>
    <x v="51"/>
    <n v="25"/>
    <n v="16"/>
    <x v="1"/>
    <n v="7.8800000000000008"/>
    <n v="1091.25"/>
    <x v="129"/>
  </r>
  <r>
    <s v="PRD-1131"/>
    <x v="67"/>
    <x v="7"/>
    <x v="8"/>
    <n v="36.25"/>
    <n v="70.98"/>
    <n v="116"/>
    <x v="53"/>
    <n v="22"/>
    <n v="14"/>
    <x v="1"/>
    <n v="34.730000000000004"/>
    <n v="6672.1200000000008"/>
    <x v="130"/>
  </r>
  <r>
    <s v="PRD-1132"/>
    <x v="61"/>
    <x v="0"/>
    <x v="9"/>
    <n v="24.12"/>
    <n v="35.53"/>
    <n v="292"/>
    <x v="101"/>
    <n v="150"/>
    <n v="63"/>
    <x v="1"/>
    <n v="11.41"/>
    <n v="5045.26"/>
    <x v="131"/>
  </r>
  <r>
    <s v="PRD-1133"/>
    <x v="35"/>
    <x v="4"/>
    <x v="5"/>
    <n v="3.65"/>
    <n v="7.04"/>
    <n v="411"/>
    <x v="102"/>
    <n v="41"/>
    <n v="76"/>
    <x v="0"/>
    <n v="3.39"/>
    <n v="2604.8000000000002"/>
    <x v="132"/>
  </r>
  <r>
    <s v="PRD-1134"/>
    <x v="50"/>
    <x v="3"/>
    <x v="9"/>
    <n v="17.36"/>
    <n v="36.92"/>
    <n v="178"/>
    <x v="86"/>
    <n v="90"/>
    <n v="20"/>
    <x v="1"/>
    <n v="19.560000000000002"/>
    <n v="3248.96"/>
    <x v="133"/>
  </r>
  <r>
    <s v="PRD-1135"/>
    <x v="16"/>
    <x v="0"/>
    <x v="9"/>
    <n v="13.11"/>
    <n v="23.98"/>
    <n v="397"/>
    <x v="99"/>
    <n v="301"/>
    <n v="81"/>
    <x v="1"/>
    <n v="10.870000000000001"/>
    <n v="2302.08"/>
    <x v="134"/>
  </r>
  <r>
    <s v="PRD-1136"/>
    <x v="23"/>
    <x v="0"/>
    <x v="1"/>
    <n v="9.6199999999999992"/>
    <n v="17.21"/>
    <n v="353"/>
    <x v="57"/>
    <n v="297"/>
    <n v="67"/>
    <x v="1"/>
    <n v="7.5900000000000016"/>
    <n v="963.76"/>
    <x v="135"/>
  </r>
  <r>
    <s v="PRD-1137"/>
    <x v="67"/>
    <x v="7"/>
    <x v="1"/>
    <n v="26.24"/>
    <n v="36.090000000000003"/>
    <n v="495"/>
    <x v="103"/>
    <n v="88"/>
    <n v="97"/>
    <x v="0"/>
    <n v="9.850000000000005"/>
    <n v="14688.630000000001"/>
    <x v="136"/>
  </r>
  <r>
    <s v="PRD-1138"/>
    <x v="68"/>
    <x v="5"/>
    <x v="4"/>
    <n v="12.98"/>
    <n v="24.22"/>
    <n v="354"/>
    <x v="69"/>
    <n v="204"/>
    <n v="56"/>
    <x v="1"/>
    <n v="11.239999999999998"/>
    <n v="3633"/>
    <x v="137"/>
  </r>
  <r>
    <s v="PRD-1139"/>
    <x v="44"/>
    <x v="1"/>
    <x v="0"/>
    <n v="9.75"/>
    <n v="18.84"/>
    <n v="326"/>
    <x v="104"/>
    <n v="264"/>
    <n v="36"/>
    <x v="1"/>
    <n v="9.09"/>
    <n v="1168.08"/>
    <x v="138"/>
  </r>
  <r>
    <s v="PRD-1140"/>
    <x v="7"/>
    <x v="2"/>
    <x v="5"/>
    <n v="2.82"/>
    <n v="4.2300000000000004"/>
    <n v="131"/>
    <x v="55"/>
    <n v="94"/>
    <n v="30"/>
    <x v="1"/>
    <n v="1.4100000000000006"/>
    <n v="156.51000000000002"/>
    <x v="139"/>
  </r>
  <r>
    <s v="PRD-1141"/>
    <x v="65"/>
    <x v="1"/>
    <x v="4"/>
    <n v="1.79"/>
    <n v="2.5"/>
    <n v="178"/>
    <x v="105"/>
    <n v="63"/>
    <n v="40"/>
    <x v="1"/>
    <n v="0.71"/>
    <n v="287.5"/>
    <x v="140"/>
  </r>
  <r>
    <s v="PRD-1142"/>
    <x v="62"/>
    <x v="7"/>
    <x v="7"/>
    <n v="41.83"/>
    <n v="61.16"/>
    <n v="80"/>
    <x v="106"/>
    <n v="13"/>
    <n v="13"/>
    <x v="0"/>
    <n v="19.329999999999998"/>
    <n v="4097.7199999999993"/>
    <x v="141"/>
  </r>
  <r>
    <s v="PRD-1143"/>
    <x v="49"/>
    <x v="6"/>
    <x v="3"/>
    <n v="17.71"/>
    <n v="29.65"/>
    <n v="78"/>
    <x v="107"/>
    <n v="33"/>
    <n v="14"/>
    <x v="1"/>
    <n v="11.939999999999998"/>
    <n v="1334.25"/>
    <x v="142"/>
  </r>
  <r>
    <s v="PRD-1144"/>
    <x v="67"/>
    <x v="7"/>
    <x v="8"/>
    <n v="21.73"/>
    <n v="37.36"/>
    <n v="104"/>
    <x v="63"/>
    <n v="7"/>
    <n v="12"/>
    <x v="0"/>
    <n v="15.629999999999999"/>
    <n v="3623.92"/>
    <x v="143"/>
  </r>
  <r>
    <s v="PRD-1145"/>
    <x v="44"/>
    <x v="1"/>
    <x v="7"/>
    <n v="17.14"/>
    <n v="30.32"/>
    <n v="300"/>
    <x v="108"/>
    <n v="215"/>
    <n v="39"/>
    <x v="1"/>
    <n v="13.18"/>
    <n v="2577.1999999999998"/>
    <x v="144"/>
  </r>
  <r>
    <s v="PRD-1146"/>
    <x v="69"/>
    <x v="4"/>
    <x v="8"/>
    <n v="6.06"/>
    <n v="10.46"/>
    <n v="136"/>
    <x v="107"/>
    <n v="91"/>
    <n v="31"/>
    <x v="1"/>
    <n v="4.4000000000000012"/>
    <n v="470.70000000000005"/>
    <x v="145"/>
  </r>
  <r>
    <s v="PRD-1147"/>
    <x v="70"/>
    <x v="3"/>
    <x v="7"/>
    <n v="20.45"/>
    <n v="33.869999999999997"/>
    <n v="436"/>
    <x v="109"/>
    <n v="48"/>
    <n v="73"/>
    <x v="0"/>
    <n v="13.419999999999998"/>
    <n v="13141.56"/>
    <x v="146"/>
  </r>
  <r>
    <s v="PRD-1148"/>
    <x v="31"/>
    <x v="6"/>
    <x v="4"/>
    <n v="33.67"/>
    <n v="53.9"/>
    <n v="155"/>
    <x v="110"/>
    <n v="85"/>
    <n v="24"/>
    <x v="1"/>
    <n v="20.229999999999997"/>
    <n v="3773"/>
    <x v="147"/>
  </r>
  <r>
    <s v="PRD-1149"/>
    <x v="71"/>
    <x v="0"/>
    <x v="3"/>
    <n v="23.16"/>
    <n v="38.65"/>
    <n v="385"/>
    <x v="111"/>
    <n v="51"/>
    <n v="70"/>
    <x v="0"/>
    <n v="15.489999999999998"/>
    <n v="12909.1"/>
    <x v="148"/>
  </r>
  <r>
    <s v="PRD-1150"/>
    <x v="7"/>
    <x v="2"/>
    <x v="1"/>
    <n v="18.57"/>
    <n v="28.05"/>
    <n v="229"/>
    <x v="112"/>
    <n v="45"/>
    <n v="39"/>
    <x v="1"/>
    <n v="9.48"/>
    <n v="5161.2"/>
    <x v="149"/>
  </r>
  <r>
    <s v="PRD-1151"/>
    <x v="52"/>
    <x v="1"/>
    <x v="6"/>
    <n v="13.19"/>
    <n v="24.74"/>
    <n v="388"/>
    <x v="113"/>
    <n v="22"/>
    <n v="80"/>
    <x v="0"/>
    <n v="11.549999999999999"/>
    <n v="9054.84"/>
    <x v="150"/>
  </r>
  <r>
    <s v="PRD-1152"/>
    <x v="19"/>
    <x v="2"/>
    <x v="9"/>
    <n v="13.99"/>
    <n v="27.26"/>
    <n v="56"/>
    <x v="114"/>
    <n v="27"/>
    <n v="13"/>
    <x v="1"/>
    <n v="13.270000000000001"/>
    <n v="790.54000000000008"/>
    <x v="151"/>
  </r>
  <r>
    <s v="PRD-1153"/>
    <x v="62"/>
    <x v="7"/>
    <x v="3"/>
    <n v="36.24"/>
    <n v="53.1"/>
    <n v="88"/>
    <x v="115"/>
    <n v="42"/>
    <n v="17"/>
    <x v="1"/>
    <n v="16.86"/>
    <n v="2442.6"/>
    <x v="152"/>
  </r>
  <r>
    <s v="PRD-1154"/>
    <x v="31"/>
    <x v="6"/>
    <x v="5"/>
    <n v="18.350000000000001"/>
    <n v="24.16"/>
    <n v="436"/>
    <x v="116"/>
    <n v="107"/>
    <n v="85"/>
    <x v="1"/>
    <n v="5.8099999999999987"/>
    <n v="7948.64"/>
    <x v="153"/>
  </r>
  <r>
    <s v="PRD-1155"/>
    <x v="19"/>
    <x v="2"/>
    <x v="3"/>
    <n v="17.82"/>
    <n v="30.74"/>
    <n v="491"/>
    <x v="104"/>
    <n v="429"/>
    <n v="73"/>
    <x v="1"/>
    <n v="12.919999999999998"/>
    <n v="1905.8799999999999"/>
    <x v="154"/>
  </r>
  <r>
    <s v="PRD-1156"/>
    <x v="72"/>
    <x v="6"/>
    <x v="1"/>
    <n v="18.23"/>
    <n v="29.33"/>
    <n v="424"/>
    <x v="35"/>
    <n v="316"/>
    <n v="77"/>
    <x v="1"/>
    <n v="11.099999999999998"/>
    <n v="3167.64"/>
    <x v="155"/>
  </r>
  <r>
    <s v="PRD-1157"/>
    <x v="64"/>
    <x v="2"/>
    <x v="2"/>
    <n v="5.54"/>
    <n v="10.1"/>
    <n v="148"/>
    <x v="117"/>
    <n v="101"/>
    <n v="19"/>
    <x v="1"/>
    <n v="4.5599999999999996"/>
    <n v="474.7"/>
    <x v="156"/>
  </r>
  <r>
    <s v="PRD-1158"/>
    <x v="8"/>
    <x v="2"/>
    <x v="5"/>
    <n v="23.5"/>
    <n v="34.99"/>
    <n v="238"/>
    <x v="118"/>
    <n v="160"/>
    <n v="59"/>
    <x v="1"/>
    <n v="11.490000000000002"/>
    <n v="2729.2200000000003"/>
    <x v="157"/>
  </r>
  <r>
    <s v="PRD-1159"/>
    <x v="62"/>
    <x v="7"/>
    <x v="1"/>
    <n v="30.94"/>
    <n v="55.44"/>
    <n v="470"/>
    <x v="119"/>
    <n v="113"/>
    <n v="59"/>
    <x v="1"/>
    <n v="24.499999999999996"/>
    <n v="19792.079999999998"/>
    <x v="158"/>
  </r>
  <r>
    <s v="PRD-1160"/>
    <x v="35"/>
    <x v="4"/>
    <x v="0"/>
    <n v="4.47"/>
    <n v="8.83"/>
    <n v="327"/>
    <x v="120"/>
    <n v="192"/>
    <n v="51"/>
    <x v="1"/>
    <n v="4.3600000000000003"/>
    <n v="1192.05"/>
    <x v="159"/>
  </r>
  <r>
    <s v="PRD-1161"/>
    <x v="22"/>
    <x v="3"/>
    <x v="2"/>
    <n v="24.53"/>
    <n v="46.7"/>
    <n v="475"/>
    <x v="121"/>
    <n v="73"/>
    <n v="101"/>
    <x v="0"/>
    <n v="22.17"/>
    <n v="18773.400000000001"/>
    <x v="160"/>
  </r>
  <r>
    <s v="PRD-1162"/>
    <x v="49"/>
    <x v="6"/>
    <x v="8"/>
    <n v="22"/>
    <n v="28.99"/>
    <n v="445"/>
    <x v="122"/>
    <n v="231"/>
    <n v="88"/>
    <x v="1"/>
    <n v="6.9899999999999984"/>
    <n v="6203.86"/>
    <x v="161"/>
  </r>
  <r>
    <s v="PRD-1163"/>
    <x v="37"/>
    <x v="6"/>
    <x v="1"/>
    <n v="24.14"/>
    <n v="49.7"/>
    <n v="177"/>
    <x v="123"/>
    <n v="100"/>
    <n v="43"/>
    <x v="1"/>
    <n v="25.560000000000002"/>
    <n v="3826.9"/>
    <x v="162"/>
  </r>
  <r>
    <s v="PRD-1164"/>
    <x v="33"/>
    <x v="6"/>
    <x v="7"/>
    <n v="30.52"/>
    <n v="48.37"/>
    <n v="158"/>
    <x v="34"/>
    <n v="21"/>
    <n v="38"/>
    <x v="0"/>
    <n v="17.849999999999998"/>
    <n v="6626.69"/>
    <x v="163"/>
  </r>
  <r>
    <s v="PRD-1165"/>
    <x v="7"/>
    <x v="2"/>
    <x v="1"/>
    <n v="10.53"/>
    <n v="21.71"/>
    <n v="142"/>
    <x v="51"/>
    <n v="67"/>
    <n v="29"/>
    <x v="1"/>
    <n v="11.180000000000001"/>
    <n v="1628.25"/>
    <x v="164"/>
  </r>
  <r>
    <s v="PRD-1166"/>
    <x v="44"/>
    <x v="1"/>
    <x v="8"/>
    <n v="19.2"/>
    <n v="33.39"/>
    <n v="315"/>
    <x v="34"/>
    <n v="178"/>
    <n v="35"/>
    <x v="1"/>
    <n v="14.190000000000001"/>
    <n v="4574.43"/>
    <x v="165"/>
  </r>
  <r>
    <s v="PRD-1167"/>
    <x v="1"/>
    <x v="1"/>
    <x v="5"/>
    <n v="5.26"/>
    <n v="10.02"/>
    <n v="72"/>
    <x v="81"/>
    <n v="33"/>
    <n v="11"/>
    <x v="1"/>
    <n v="4.76"/>
    <n v="390.78"/>
    <x v="166"/>
  </r>
  <r>
    <s v="PRD-1168"/>
    <x v="73"/>
    <x v="5"/>
    <x v="2"/>
    <n v="14.49"/>
    <n v="22.05"/>
    <n v="198"/>
    <x v="124"/>
    <n v="76"/>
    <n v="25"/>
    <x v="1"/>
    <n v="7.5600000000000005"/>
    <n v="2690.1"/>
    <x v="167"/>
  </r>
  <r>
    <s v="PRD-1169"/>
    <x v="16"/>
    <x v="0"/>
    <x v="0"/>
    <n v="20.87"/>
    <n v="42.75"/>
    <n v="275"/>
    <x v="67"/>
    <n v="70"/>
    <n v="43"/>
    <x v="1"/>
    <n v="21.88"/>
    <n v="8763.75"/>
    <x v="168"/>
  </r>
  <r>
    <s v="PRD-1170"/>
    <x v="26"/>
    <x v="3"/>
    <x v="2"/>
    <n v="19.829999999999998"/>
    <n v="34.380000000000003"/>
    <n v="433"/>
    <x v="125"/>
    <n v="340"/>
    <n v="54"/>
    <x v="1"/>
    <n v="14.550000000000004"/>
    <n v="3197.34"/>
    <x v="169"/>
  </r>
  <r>
    <s v="PRD-1171"/>
    <x v="0"/>
    <x v="0"/>
    <x v="6"/>
    <n v="12.95"/>
    <n v="24.64"/>
    <n v="260"/>
    <x v="126"/>
    <n v="176"/>
    <n v="59"/>
    <x v="1"/>
    <n v="11.690000000000001"/>
    <n v="2069.7600000000002"/>
    <x v="170"/>
  </r>
  <r>
    <s v="PRD-1172"/>
    <x v="64"/>
    <x v="2"/>
    <x v="3"/>
    <n v="17.100000000000001"/>
    <n v="31.04"/>
    <n v="137"/>
    <x v="127"/>
    <n v="97"/>
    <n v="21"/>
    <x v="1"/>
    <n v="13.939999999999998"/>
    <n v="1241.5999999999999"/>
    <x v="171"/>
  </r>
  <r>
    <s v="PRD-1173"/>
    <x v="43"/>
    <x v="7"/>
    <x v="8"/>
    <n v="55.77"/>
    <n v="106.49"/>
    <n v="203"/>
    <x v="3"/>
    <n v="63"/>
    <n v="21"/>
    <x v="1"/>
    <n v="50.719999999999992"/>
    <n v="14908.599999999999"/>
    <x v="172"/>
  </r>
  <r>
    <s v="PRD-1174"/>
    <x v="62"/>
    <x v="7"/>
    <x v="6"/>
    <n v="70.760000000000005"/>
    <n v="136.44"/>
    <n v="312"/>
    <x v="62"/>
    <n v="106"/>
    <n v="37"/>
    <x v="1"/>
    <n v="65.679999999999993"/>
    <n v="28106.639999999999"/>
    <x v="173"/>
  </r>
  <r>
    <s v="PRD-1175"/>
    <x v="42"/>
    <x v="6"/>
    <x v="8"/>
    <n v="6.92"/>
    <n v="13.99"/>
    <n v="497"/>
    <x v="80"/>
    <n v="396"/>
    <n v="117"/>
    <x v="1"/>
    <n v="7.07"/>
    <n v="1412.99"/>
    <x v="174"/>
  </r>
  <r>
    <s v="PRD-1176"/>
    <x v="69"/>
    <x v="4"/>
    <x v="6"/>
    <n v="2.54"/>
    <n v="3.65"/>
    <n v="31"/>
    <x v="128"/>
    <n v="16"/>
    <n v="4"/>
    <x v="1"/>
    <n v="1.1099999999999999"/>
    <n v="54.75"/>
    <x v="175"/>
  </r>
  <r>
    <s v="PRD-1177"/>
    <x v="1"/>
    <x v="1"/>
    <x v="3"/>
    <n v="18.96"/>
    <n v="37.68"/>
    <n v="345"/>
    <x v="129"/>
    <n v="70"/>
    <n v="74"/>
    <x v="0"/>
    <n v="18.72"/>
    <n v="10362"/>
    <x v="176"/>
  </r>
  <r>
    <s v="PRD-1178"/>
    <x v="51"/>
    <x v="5"/>
    <x v="6"/>
    <n v="4.26"/>
    <n v="8.07"/>
    <n v="311"/>
    <x v="130"/>
    <n v="41"/>
    <n v="60"/>
    <x v="0"/>
    <n v="3.8100000000000005"/>
    <n v="2178.9"/>
    <x v="177"/>
  </r>
  <r>
    <s v="PRD-1179"/>
    <x v="21"/>
    <x v="2"/>
    <x v="3"/>
    <n v="23.05"/>
    <n v="37.49"/>
    <n v="185"/>
    <x v="131"/>
    <n v="151"/>
    <n v="40"/>
    <x v="1"/>
    <n v="14.440000000000001"/>
    <n v="1274.6600000000001"/>
    <x v="178"/>
  </r>
  <r>
    <s v="PRD-1180"/>
    <x v="31"/>
    <x v="6"/>
    <x v="5"/>
    <n v="25.08"/>
    <n v="47.91"/>
    <n v="303"/>
    <x v="127"/>
    <n v="263"/>
    <n v="69"/>
    <x v="1"/>
    <n v="22.83"/>
    <n v="1916.3999999999999"/>
    <x v="179"/>
  </r>
  <r>
    <s v="PRD-1181"/>
    <x v="13"/>
    <x v="2"/>
    <x v="0"/>
    <n v="15.63"/>
    <n v="31.54"/>
    <n v="286"/>
    <x v="49"/>
    <n v="231"/>
    <n v="53"/>
    <x v="1"/>
    <n v="15.909999999999998"/>
    <n v="1734.7"/>
    <x v="180"/>
  </r>
  <r>
    <s v="PRD-1182"/>
    <x v="20"/>
    <x v="3"/>
    <x v="9"/>
    <n v="2.94"/>
    <n v="5.73"/>
    <n v="199"/>
    <x v="132"/>
    <n v="50"/>
    <n v="41"/>
    <x v="1"/>
    <n v="2.7900000000000005"/>
    <n v="853.7700000000001"/>
    <x v="181"/>
  </r>
  <r>
    <s v="PRD-1183"/>
    <x v="42"/>
    <x v="6"/>
    <x v="6"/>
    <n v="6.81"/>
    <n v="14.82"/>
    <n v="293"/>
    <x v="133"/>
    <n v="103"/>
    <n v="60"/>
    <x v="1"/>
    <n v="8.0100000000000016"/>
    <n v="2815.8"/>
    <x v="182"/>
  </r>
  <r>
    <s v="PRD-1184"/>
    <x v="6"/>
    <x v="0"/>
    <x v="0"/>
    <n v="22.7"/>
    <n v="43.04"/>
    <n v="304"/>
    <x v="134"/>
    <n v="142"/>
    <n v="63"/>
    <x v="1"/>
    <n v="20.34"/>
    <n v="6972.48"/>
    <x v="183"/>
  </r>
  <r>
    <s v="PRD-1185"/>
    <x v="68"/>
    <x v="5"/>
    <x v="5"/>
    <n v="7.38"/>
    <n v="15.01"/>
    <n v="219"/>
    <x v="135"/>
    <n v="16"/>
    <n v="33"/>
    <x v="0"/>
    <n v="7.63"/>
    <n v="3047.0299999999997"/>
    <x v="184"/>
  </r>
  <r>
    <s v="PRD-1186"/>
    <x v="34"/>
    <x v="4"/>
    <x v="2"/>
    <n v="6.43"/>
    <n v="8.6999999999999993"/>
    <n v="109"/>
    <x v="136"/>
    <n v="91"/>
    <n v="23"/>
    <x v="1"/>
    <n v="2.2699999999999996"/>
    <n v="156.6"/>
    <x v="185"/>
  </r>
  <r>
    <s v="PRD-1187"/>
    <x v="66"/>
    <x v="3"/>
    <x v="0"/>
    <n v="12.94"/>
    <n v="23.62"/>
    <n v="477"/>
    <x v="137"/>
    <n v="167"/>
    <n v="101"/>
    <x v="1"/>
    <n v="10.680000000000001"/>
    <n v="7322.2000000000007"/>
    <x v="186"/>
  </r>
  <r>
    <s v="PRD-1188"/>
    <x v="54"/>
    <x v="6"/>
    <x v="2"/>
    <n v="32.11"/>
    <n v="54.76"/>
    <n v="235"/>
    <x v="138"/>
    <n v="118"/>
    <n v="48"/>
    <x v="1"/>
    <n v="22.65"/>
    <n v="6406.92"/>
    <x v="187"/>
  </r>
  <r>
    <s v="PRD-1189"/>
    <x v="15"/>
    <x v="5"/>
    <x v="8"/>
    <n v="14.65"/>
    <n v="21.44"/>
    <n v="466"/>
    <x v="139"/>
    <n v="302"/>
    <n v="107"/>
    <x v="1"/>
    <n v="6.7900000000000009"/>
    <n v="3516.1600000000003"/>
    <x v="188"/>
  </r>
  <r>
    <s v="PRD-1190"/>
    <x v="71"/>
    <x v="0"/>
    <x v="6"/>
    <n v="2.76"/>
    <n v="5.29"/>
    <n v="66"/>
    <x v="52"/>
    <n v="23"/>
    <n v="13"/>
    <x v="1"/>
    <n v="2.5300000000000002"/>
    <n v="227.47"/>
    <x v="189"/>
  </r>
  <r>
    <s v="PRD-1191"/>
    <x v="58"/>
    <x v="6"/>
    <x v="9"/>
    <n v="22.03"/>
    <n v="38"/>
    <n v="43"/>
    <x v="75"/>
    <n v="22"/>
    <n v="10"/>
    <x v="1"/>
    <n v="15.969999999999999"/>
    <n v="798"/>
    <x v="190"/>
  </r>
  <r>
    <s v="PRD-1192"/>
    <x v="43"/>
    <x v="7"/>
    <x v="3"/>
    <n v="73.260000000000005"/>
    <n v="109.44"/>
    <n v="180"/>
    <x v="108"/>
    <n v="95"/>
    <n v="19"/>
    <x v="1"/>
    <n v="36.179999999999993"/>
    <n v="9302.4"/>
    <x v="191"/>
  </r>
  <r>
    <s v="PRD-1193"/>
    <x v="0"/>
    <x v="0"/>
    <x v="9"/>
    <n v="7.36"/>
    <n v="13.46"/>
    <n v="34"/>
    <x v="9"/>
    <n v="20"/>
    <n v="7"/>
    <x v="1"/>
    <n v="6.1000000000000005"/>
    <n v="188.44"/>
    <x v="192"/>
  </r>
  <r>
    <s v="PRD-1194"/>
    <x v="74"/>
    <x v="0"/>
    <x v="3"/>
    <n v="7.36"/>
    <n v="12.43"/>
    <n v="458"/>
    <x v="3"/>
    <n v="318"/>
    <n v="88"/>
    <x v="1"/>
    <n v="5.0699999999999994"/>
    <n v="1740.2"/>
    <x v="193"/>
  </r>
  <r>
    <s v="PRD-1195"/>
    <x v="62"/>
    <x v="7"/>
    <x v="3"/>
    <n v="45.76"/>
    <n v="69.53"/>
    <n v="343"/>
    <x v="140"/>
    <n v="51"/>
    <n v="85"/>
    <x v="0"/>
    <n v="23.770000000000003"/>
    <n v="20302.760000000002"/>
    <x v="194"/>
  </r>
  <r>
    <s v="PRD-1196"/>
    <x v="12"/>
    <x v="6"/>
    <x v="8"/>
    <n v="23.41"/>
    <n v="50.61"/>
    <n v="114"/>
    <x v="14"/>
    <n v="15"/>
    <n v="18"/>
    <x v="0"/>
    <n v="27.2"/>
    <n v="5010.3900000000003"/>
    <x v="195"/>
  </r>
  <r>
    <s v="PRD-1197"/>
    <x v="44"/>
    <x v="1"/>
    <x v="7"/>
    <n v="16.940000000000001"/>
    <n v="22.83"/>
    <n v="460"/>
    <x v="106"/>
    <n v="393"/>
    <n v="97"/>
    <x v="1"/>
    <n v="5.889999999999997"/>
    <n v="1529.61"/>
    <x v="196"/>
  </r>
  <r>
    <s v="PRD-1198"/>
    <x v="67"/>
    <x v="7"/>
    <x v="2"/>
    <n v="55.07"/>
    <n v="119.6"/>
    <n v="124"/>
    <x v="141"/>
    <n v="55"/>
    <n v="15"/>
    <x v="1"/>
    <n v="64.53"/>
    <n v="8252.4"/>
    <x v="197"/>
  </r>
  <r>
    <s v="PRD-1199"/>
    <x v="39"/>
    <x v="4"/>
    <x v="5"/>
    <n v="3.04"/>
    <n v="6.23"/>
    <n v="455"/>
    <x v="28"/>
    <n v="341"/>
    <n v="102"/>
    <x v="1"/>
    <n v="3.1900000000000004"/>
    <n v="710.22"/>
    <x v="198"/>
  </r>
  <r>
    <s v="PRD-1200"/>
    <x v="73"/>
    <x v="5"/>
    <x v="4"/>
    <n v="1.36"/>
    <n v="2.39"/>
    <n v="378"/>
    <x v="78"/>
    <n v="245"/>
    <n v="87"/>
    <x v="1"/>
    <n v="1.03"/>
    <n v="317.87"/>
    <x v="199"/>
  </r>
  <r>
    <s v="PRD-1201"/>
    <x v="39"/>
    <x v="4"/>
    <x v="0"/>
    <n v="4.05"/>
    <n v="8.64"/>
    <n v="45"/>
    <x v="142"/>
    <n v="22"/>
    <n v="5"/>
    <x v="1"/>
    <n v="4.5900000000000007"/>
    <n v="198.72000000000003"/>
    <x v="200"/>
  </r>
  <r>
    <s v="PRD-1202"/>
    <x v="42"/>
    <x v="6"/>
    <x v="2"/>
    <n v="13.72"/>
    <n v="27.54"/>
    <n v="188"/>
    <x v="5"/>
    <n v="136"/>
    <n v="28"/>
    <x v="1"/>
    <n v="13.819999999999999"/>
    <n v="1432.08"/>
    <x v="201"/>
  </r>
  <r>
    <s v="PRD-1203"/>
    <x v="72"/>
    <x v="6"/>
    <x v="1"/>
    <n v="31.92"/>
    <n v="55.96"/>
    <n v="66"/>
    <x v="50"/>
    <n v="57"/>
    <n v="7"/>
    <x v="1"/>
    <n v="24.04"/>
    <n v="503.64"/>
    <x v="202"/>
  </r>
  <r>
    <s v="PRD-1204"/>
    <x v="59"/>
    <x v="0"/>
    <x v="3"/>
    <n v="12.14"/>
    <n v="21.42"/>
    <n v="241"/>
    <x v="143"/>
    <n v="14"/>
    <n v="53"/>
    <x v="0"/>
    <n v="9.2800000000000011"/>
    <n v="4862.34"/>
    <x v="203"/>
  </r>
  <r>
    <s v="PRD-1205"/>
    <x v="29"/>
    <x v="3"/>
    <x v="9"/>
    <n v="13.63"/>
    <n v="28.57"/>
    <n v="102"/>
    <x v="115"/>
    <n v="56"/>
    <n v="14"/>
    <x v="1"/>
    <n v="14.94"/>
    <n v="1314.22"/>
    <x v="204"/>
  </r>
  <r>
    <s v="PRD-1206"/>
    <x v="18"/>
    <x v="1"/>
    <x v="2"/>
    <n v="2.42"/>
    <n v="3.59"/>
    <n v="224"/>
    <x v="144"/>
    <n v="38"/>
    <n v="39"/>
    <x v="0"/>
    <n v="1.17"/>
    <n v="667.74"/>
    <x v="205"/>
  </r>
  <r>
    <s v="PRD-1207"/>
    <x v="18"/>
    <x v="1"/>
    <x v="0"/>
    <n v="15.63"/>
    <n v="32.200000000000003"/>
    <n v="432"/>
    <x v="145"/>
    <n v="151"/>
    <n v="54"/>
    <x v="1"/>
    <n v="16.57"/>
    <n v="9048.2000000000007"/>
    <x v="206"/>
  </r>
  <r>
    <s v="PRD-1208"/>
    <x v="6"/>
    <x v="0"/>
    <x v="2"/>
    <n v="25.19"/>
    <n v="43.52"/>
    <n v="299"/>
    <x v="105"/>
    <n v="184"/>
    <n v="34"/>
    <x v="1"/>
    <n v="18.330000000000002"/>
    <n v="5004.8"/>
    <x v="207"/>
  </r>
  <r>
    <s v="PRD-1209"/>
    <x v="12"/>
    <x v="6"/>
    <x v="7"/>
    <n v="9.0500000000000007"/>
    <n v="19.350000000000001"/>
    <n v="147"/>
    <x v="146"/>
    <n v="13"/>
    <n v="24"/>
    <x v="0"/>
    <n v="10.3"/>
    <n v="2592.9"/>
    <x v="208"/>
  </r>
  <r>
    <s v="PRD-1210"/>
    <x v="31"/>
    <x v="6"/>
    <x v="9"/>
    <n v="6.24"/>
    <n v="10.220000000000001"/>
    <n v="170"/>
    <x v="37"/>
    <n v="145"/>
    <n v="28"/>
    <x v="1"/>
    <n v="3.9800000000000004"/>
    <n v="255.50000000000003"/>
    <x v="209"/>
  </r>
  <r>
    <s v="PRD-1211"/>
    <x v="29"/>
    <x v="3"/>
    <x v="0"/>
    <n v="13.6"/>
    <n v="27.16"/>
    <n v="54"/>
    <x v="38"/>
    <n v="21"/>
    <n v="10"/>
    <x v="1"/>
    <n v="13.56"/>
    <n v="896.28"/>
    <x v="210"/>
  </r>
  <r>
    <s v="PRD-1212"/>
    <x v="39"/>
    <x v="4"/>
    <x v="4"/>
    <n v="10.79"/>
    <n v="20.77"/>
    <n v="76"/>
    <x v="117"/>
    <n v="29"/>
    <n v="18"/>
    <x v="1"/>
    <n v="9.98"/>
    <n v="976.18999999999994"/>
    <x v="211"/>
  </r>
  <r>
    <s v="PRD-1213"/>
    <x v="27"/>
    <x v="7"/>
    <x v="6"/>
    <n v="43.85"/>
    <n v="72.8"/>
    <n v="308"/>
    <x v="147"/>
    <n v="96"/>
    <n v="66"/>
    <x v="1"/>
    <n v="28.949999999999996"/>
    <n v="15433.599999999999"/>
    <x v="212"/>
  </r>
  <r>
    <s v="PRD-1214"/>
    <x v="59"/>
    <x v="0"/>
    <x v="5"/>
    <n v="17.66"/>
    <n v="27.3"/>
    <n v="335"/>
    <x v="148"/>
    <n v="209"/>
    <n v="48"/>
    <x v="1"/>
    <n v="9.64"/>
    <n v="3439.8"/>
    <x v="213"/>
  </r>
  <r>
    <s v="PRD-1215"/>
    <x v="63"/>
    <x v="2"/>
    <x v="2"/>
    <n v="11.9"/>
    <n v="21.26"/>
    <n v="441"/>
    <x v="74"/>
    <n v="29"/>
    <n v="97"/>
    <x v="0"/>
    <n v="9.3600000000000012"/>
    <n v="8759.1200000000008"/>
    <x v="214"/>
  </r>
  <r>
    <s v="PRD-1216"/>
    <x v="6"/>
    <x v="0"/>
    <x v="1"/>
    <n v="5.35"/>
    <n v="8.48"/>
    <n v="423"/>
    <x v="141"/>
    <n v="354"/>
    <n v="101"/>
    <x v="1"/>
    <n v="3.1300000000000008"/>
    <n v="585.12"/>
    <x v="215"/>
  </r>
  <r>
    <s v="PRD-1217"/>
    <x v="75"/>
    <x v="3"/>
    <x v="1"/>
    <n v="14.17"/>
    <n v="30.55"/>
    <n v="356"/>
    <x v="149"/>
    <n v="114"/>
    <n v="50"/>
    <x v="1"/>
    <n v="16.380000000000003"/>
    <n v="7393.1"/>
    <x v="216"/>
  </r>
  <r>
    <s v="PRD-1218"/>
    <x v="48"/>
    <x v="5"/>
    <x v="5"/>
    <n v="13.98"/>
    <n v="27.04"/>
    <n v="434"/>
    <x v="86"/>
    <n v="346"/>
    <n v="84"/>
    <x v="1"/>
    <n v="13.059999999999999"/>
    <n v="2379.52"/>
    <x v="217"/>
  </r>
  <r>
    <s v="PRD-1219"/>
    <x v="44"/>
    <x v="1"/>
    <x v="4"/>
    <n v="12.6"/>
    <n v="24.52"/>
    <n v="351"/>
    <x v="150"/>
    <n v="227"/>
    <n v="79"/>
    <x v="1"/>
    <n v="11.92"/>
    <n v="3040.48"/>
    <x v="218"/>
  </r>
  <r>
    <s v="PRD-1220"/>
    <x v="24"/>
    <x v="5"/>
    <x v="5"/>
    <n v="3.87"/>
    <n v="6.11"/>
    <n v="159"/>
    <x v="151"/>
    <n v="21"/>
    <n v="17"/>
    <x v="1"/>
    <n v="2.2400000000000002"/>
    <n v="843.18000000000006"/>
    <x v="219"/>
  </r>
  <r>
    <s v="PRD-1221"/>
    <x v="30"/>
    <x v="4"/>
    <x v="5"/>
    <n v="8.92"/>
    <n v="16.2"/>
    <n v="193"/>
    <x v="86"/>
    <n v="105"/>
    <n v="43"/>
    <x v="1"/>
    <n v="7.2799999999999994"/>
    <n v="1425.6"/>
    <x v="220"/>
  </r>
  <r>
    <s v="PRD-1222"/>
    <x v="59"/>
    <x v="0"/>
    <x v="9"/>
    <n v="22.08"/>
    <n v="34.72"/>
    <n v="69"/>
    <x v="61"/>
    <n v="11"/>
    <n v="10"/>
    <x v="1"/>
    <n v="12.64"/>
    <n v="2013.76"/>
    <x v="221"/>
  </r>
  <r>
    <s v="PRD-1223"/>
    <x v="28"/>
    <x v="7"/>
    <x v="8"/>
    <n v="49.63"/>
    <n v="73.86"/>
    <n v="107"/>
    <x v="8"/>
    <n v="48"/>
    <n v="24"/>
    <x v="1"/>
    <n v="24.229999999999997"/>
    <n v="4357.74"/>
    <x v="222"/>
  </r>
  <r>
    <s v="PRD-1224"/>
    <x v="4"/>
    <x v="0"/>
    <x v="1"/>
    <n v="4.3099999999999996"/>
    <n v="7.43"/>
    <n v="390"/>
    <x v="48"/>
    <n v="261"/>
    <n v="83"/>
    <x v="1"/>
    <n v="3.12"/>
    <n v="958.46999999999991"/>
    <x v="223"/>
  </r>
  <r>
    <s v="PRD-1225"/>
    <x v="63"/>
    <x v="2"/>
    <x v="9"/>
    <n v="8.34"/>
    <n v="15.23"/>
    <n v="327"/>
    <x v="152"/>
    <n v="58"/>
    <n v="45"/>
    <x v="1"/>
    <n v="6.8900000000000006"/>
    <n v="4096.87"/>
    <x v="224"/>
  </r>
  <r>
    <s v="PRD-1226"/>
    <x v="29"/>
    <x v="3"/>
    <x v="2"/>
    <n v="15.74"/>
    <n v="27.96"/>
    <n v="171"/>
    <x v="153"/>
    <n v="14"/>
    <n v="40"/>
    <x v="0"/>
    <n v="12.22"/>
    <n v="4389.72"/>
    <x v="225"/>
  </r>
  <r>
    <s v="PRD-1227"/>
    <x v="56"/>
    <x v="7"/>
    <x v="2"/>
    <n v="57.8"/>
    <n v="87.89"/>
    <n v="163"/>
    <x v="154"/>
    <n v="132"/>
    <n v="36"/>
    <x v="1"/>
    <n v="30.090000000000003"/>
    <n v="2724.59"/>
    <x v="226"/>
  </r>
  <r>
    <s v="PRD-1228"/>
    <x v="55"/>
    <x v="1"/>
    <x v="1"/>
    <n v="13.64"/>
    <n v="22.99"/>
    <n v="191"/>
    <x v="104"/>
    <n v="129"/>
    <n v="40"/>
    <x v="1"/>
    <n v="9.3499999999999979"/>
    <n v="1425.3799999999999"/>
    <x v="227"/>
  </r>
  <r>
    <s v="PRD-1229"/>
    <x v="5"/>
    <x v="4"/>
    <x v="5"/>
    <n v="2.42"/>
    <n v="4.5199999999999996"/>
    <n v="434"/>
    <x v="155"/>
    <n v="249"/>
    <n v="60"/>
    <x v="1"/>
    <n v="2.0999999999999996"/>
    <n v="836.19999999999993"/>
    <x v="228"/>
  </r>
  <r>
    <s v="PRD-1230"/>
    <x v="26"/>
    <x v="3"/>
    <x v="2"/>
    <n v="10.87"/>
    <n v="20.72"/>
    <n v="116"/>
    <x v="70"/>
    <n v="34"/>
    <n v="27"/>
    <x v="1"/>
    <n v="9.85"/>
    <n v="1699.04"/>
    <x v="229"/>
  </r>
  <r>
    <s v="PRD-1231"/>
    <x v="63"/>
    <x v="2"/>
    <x v="6"/>
    <n v="21.22"/>
    <n v="34.94"/>
    <n v="136"/>
    <x v="0"/>
    <n v="18"/>
    <n v="27"/>
    <x v="0"/>
    <n v="13.719999999999999"/>
    <n v="4122.92"/>
    <x v="230"/>
  </r>
  <r>
    <s v="PRD-1232"/>
    <x v="70"/>
    <x v="3"/>
    <x v="3"/>
    <n v="4.68"/>
    <n v="8.75"/>
    <n v="442"/>
    <x v="156"/>
    <n v="44"/>
    <n v="60"/>
    <x v="0"/>
    <n v="4.07"/>
    <n v="3482.5"/>
    <x v="231"/>
  </r>
  <r>
    <s v="PRD-1233"/>
    <x v="0"/>
    <x v="0"/>
    <x v="1"/>
    <n v="20.88"/>
    <n v="39.93"/>
    <n v="316"/>
    <x v="157"/>
    <n v="49"/>
    <n v="49"/>
    <x v="0"/>
    <n v="19.05"/>
    <n v="10661.31"/>
    <x v="232"/>
  </r>
  <r>
    <s v="PRD-1234"/>
    <x v="13"/>
    <x v="2"/>
    <x v="5"/>
    <n v="1.9"/>
    <n v="3.93"/>
    <n v="130"/>
    <x v="8"/>
    <n v="71"/>
    <n v="22"/>
    <x v="1"/>
    <n v="2.0300000000000002"/>
    <n v="231.87"/>
    <x v="233"/>
  </r>
  <r>
    <s v="PRD-1235"/>
    <x v="65"/>
    <x v="1"/>
    <x v="2"/>
    <n v="11.47"/>
    <n v="20.239999999999998"/>
    <n v="255"/>
    <x v="10"/>
    <n v="172"/>
    <n v="32"/>
    <x v="1"/>
    <n v="8.7699999999999978"/>
    <n v="1679.9199999999998"/>
    <x v="234"/>
  </r>
  <r>
    <s v="PRD-1236"/>
    <x v="21"/>
    <x v="2"/>
    <x v="9"/>
    <n v="18.100000000000001"/>
    <n v="29.53"/>
    <n v="473"/>
    <x v="158"/>
    <n v="299"/>
    <n v="102"/>
    <x v="1"/>
    <n v="11.43"/>
    <n v="5138.22"/>
    <x v="235"/>
  </r>
  <r>
    <s v="PRD-1237"/>
    <x v="70"/>
    <x v="3"/>
    <x v="2"/>
    <n v="3.48"/>
    <n v="4.6500000000000004"/>
    <n v="384"/>
    <x v="159"/>
    <n v="137"/>
    <n v="45"/>
    <x v="1"/>
    <n v="1.1700000000000004"/>
    <n v="1148.5500000000002"/>
    <x v="236"/>
  </r>
  <r>
    <s v="PRD-1238"/>
    <x v="11"/>
    <x v="4"/>
    <x v="7"/>
    <n v="8.16"/>
    <n v="10.72"/>
    <n v="326"/>
    <x v="73"/>
    <n v="210"/>
    <n v="41"/>
    <x v="1"/>
    <n v="2.5600000000000005"/>
    <n v="1243.52"/>
    <x v="237"/>
  </r>
  <r>
    <s v="PRD-1239"/>
    <x v="1"/>
    <x v="1"/>
    <x v="4"/>
    <n v="1.62"/>
    <n v="3.35"/>
    <n v="393"/>
    <x v="160"/>
    <n v="31"/>
    <n v="96"/>
    <x v="0"/>
    <n v="1.73"/>
    <n v="1212.7"/>
    <x v="238"/>
  </r>
  <r>
    <s v="PRD-1240"/>
    <x v="57"/>
    <x v="6"/>
    <x v="6"/>
    <n v="30.99"/>
    <n v="61.02"/>
    <n v="459"/>
    <x v="161"/>
    <n v="277"/>
    <n v="66"/>
    <x v="1"/>
    <n v="30.030000000000005"/>
    <n v="11105.640000000001"/>
    <x v="239"/>
  </r>
  <r>
    <s v="PRD-1241"/>
    <x v="34"/>
    <x v="4"/>
    <x v="1"/>
    <n v="1.71"/>
    <n v="2.74"/>
    <n v="217"/>
    <x v="80"/>
    <n v="116"/>
    <n v="48"/>
    <x v="1"/>
    <n v="1.0300000000000002"/>
    <n v="276.74"/>
    <x v="240"/>
  </r>
  <r>
    <s v="PRD-1242"/>
    <x v="4"/>
    <x v="0"/>
    <x v="5"/>
    <n v="14.94"/>
    <n v="31.95"/>
    <n v="223"/>
    <x v="162"/>
    <n v="96"/>
    <n v="50"/>
    <x v="1"/>
    <n v="17.009999999999998"/>
    <n v="4057.65"/>
    <x v="241"/>
  </r>
  <r>
    <s v="PRD-1243"/>
    <x v="26"/>
    <x v="3"/>
    <x v="9"/>
    <n v="4.8099999999999996"/>
    <n v="10.34"/>
    <n v="73"/>
    <x v="142"/>
    <n v="50"/>
    <n v="14"/>
    <x v="1"/>
    <n v="5.53"/>
    <n v="237.82"/>
    <x v="242"/>
  </r>
  <r>
    <s v="PRD-1244"/>
    <x v="76"/>
    <x v="5"/>
    <x v="6"/>
    <n v="2.65"/>
    <n v="5.1100000000000003"/>
    <n v="464"/>
    <x v="163"/>
    <n v="41"/>
    <n v="58"/>
    <x v="0"/>
    <n v="2.4600000000000004"/>
    <n v="2161.5300000000002"/>
    <x v="243"/>
  </r>
  <r>
    <s v="PRD-1245"/>
    <x v="59"/>
    <x v="0"/>
    <x v="1"/>
    <n v="4.26"/>
    <n v="7.57"/>
    <n v="481"/>
    <x v="40"/>
    <n v="238"/>
    <n v="101"/>
    <x v="1"/>
    <n v="3.3100000000000005"/>
    <n v="1839.51"/>
    <x v="244"/>
  </r>
  <r>
    <s v="PRD-1246"/>
    <x v="75"/>
    <x v="3"/>
    <x v="9"/>
    <n v="21.55"/>
    <n v="32.03"/>
    <n v="189"/>
    <x v="164"/>
    <n v="118"/>
    <n v="41"/>
    <x v="1"/>
    <n v="10.48"/>
    <n v="2274.13"/>
    <x v="245"/>
  </r>
  <r>
    <s v="PRD-1247"/>
    <x v="52"/>
    <x v="1"/>
    <x v="7"/>
    <n v="6.61"/>
    <n v="12.49"/>
    <n v="383"/>
    <x v="165"/>
    <n v="80"/>
    <n v="71"/>
    <x v="1"/>
    <n v="5.88"/>
    <n v="3784.4700000000003"/>
    <x v="246"/>
  </r>
  <r>
    <s v="PRD-1248"/>
    <x v="10"/>
    <x v="5"/>
    <x v="5"/>
    <n v="4.05"/>
    <n v="8.89"/>
    <n v="440"/>
    <x v="107"/>
    <n v="395"/>
    <n v="51"/>
    <x v="1"/>
    <n v="4.8400000000000007"/>
    <n v="400.05"/>
    <x v="247"/>
  </r>
  <r>
    <s v="PRD-1249"/>
    <x v="11"/>
    <x v="4"/>
    <x v="2"/>
    <n v="2.74"/>
    <n v="5.79"/>
    <n v="48"/>
    <x v="22"/>
    <n v="26"/>
    <n v="5"/>
    <x v="1"/>
    <n v="3.05"/>
    <n v="127.38"/>
    <x v="248"/>
  </r>
  <r>
    <s v="PRD-1250"/>
    <x v="2"/>
    <x v="2"/>
    <x v="2"/>
    <n v="8.99"/>
    <n v="13.87"/>
    <n v="480"/>
    <x v="111"/>
    <n v="146"/>
    <n v="100"/>
    <x v="1"/>
    <n v="4.879999999999999"/>
    <n v="4632.58"/>
    <x v="249"/>
  </r>
  <r>
    <s v="PRD-1251"/>
    <x v="36"/>
    <x v="3"/>
    <x v="4"/>
    <n v="17.36"/>
    <n v="25.5"/>
    <n v="142"/>
    <x v="12"/>
    <n v="32"/>
    <n v="17"/>
    <x v="1"/>
    <n v="8.14"/>
    <n v="2805"/>
    <x v="250"/>
  </r>
  <r>
    <s v="PRD-1252"/>
    <x v="16"/>
    <x v="0"/>
    <x v="4"/>
    <n v="29.94"/>
    <n v="45.17"/>
    <n v="226"/>
    <x v="10"/>
    <n v="143"/>
    <n v="30"/>
    <x v="1"/>
    <n v="15.23"/>
    <n v="3749.11"/>
    <x v="251"/>
  </r>
  <r>
    <s v="PRD-1253"/>
    <x v="67"/>
    <x v="7"/>
    <x v="0"/>
    <n v="78.790000000000006"/>
    <n v="107.46"/>
    <n v="319"/>
    <x v="69"/>
    <n v="169"/>
    <n v="65"/>
    <x v="1"/>
    <n v="28.669999999999987"/>
    <n v="16118.999999999998"/>
    <x v="252"/>
  </r>
  <r>
    <s v="PRD-1254"/>
    <x v="73"/>
    <x v="5"/>
    <x v="0"/>
    <n v="8.76"/>
    <n v="14.39"/>
    <n v="277"/>
    <x v="166"/>
    <n v="76"/>
    <n v="55"/>
    <x v="1"/>
    <n v="5.6300000000000008"/>
    <n v="2892.3900000000003"/>
    <x v="253"/>
  </r>
  <r>
    <s v="PRD-1255"/>
    <x v="4"/>
    <x v="0"/>
    <x v="2"/>
    <n v="29.92"/>
    <n v="40.799999999999997"/>
    <n v="212"/>
    <x v="167"/>
    <n v="46"/>
    <n v="40"/>
    <x v="1"/>
    <n v="10.879999999999995"/>
    <n v="6772.7999999999993"/>
    <x v="254"/>
  </r>
  <r>
    <s v="PRD-1256"/>
    <x v="68"/>
    <x v="5"/>
    <x v="3"/>
    <n v="6.12"/>
    <n v="12.53"/>
    <n v="27"/>
    <x v="136"/>
    <n v="9"/>
    <n v="2"/>
    <x v="1"/>
    <n v="6.4099999999999993"/>
    <n v="225.54"/>
    <x v="255"/>
  </r>
  <r>
    <s v="PRD-1257"/>
    <x v="31"/>
    <x v="6"/>
    <x v="9"/>
    <n v="31.45"/>
    <n v="68.52"/>
    <n v="422"/>
    <x v="104"/>
    <n v="360"/>
    <n v="86"/>
    <x v="1"/>
    <n v="37.069999999999993"/>
    <n v="4248.24"/>
    <x v="256"/>
  </r>
  <r>
    <s v="PRD-1258"/>
    <x v="38"/>
    <x v="2"/>
    <x v="1"/>
    <n v="9.68"/>
    <n v="18.010000000000002"/>
    <n v="91"/>
    <x v="71"/>
    <n v="49"/>
    <n v="10"/>
    <x v="1"/>
    <n v="8.3300000000000018"/>
    <n v="756.42000000000007"/>
    <x v="257"/>
  </r>
  <r>
    <s v="PRD-1259"/>
    <x v="63"/>
    <x v="2"/>
    <x v="7"/>
    <n v="17.350000000000001"/>
    <n v="25.05"/>
    <n v="147"/>
    <x v="168"/>
    <n v="22"/>
    <n v="16"/>
    <x v="1"/>
    <n v="7.6999999999999993"/>
    <n v="3131.25"/>
    <x v="258"/>
  </r>
  <r>
    <s v="PRD-1260"/>
    <x v="66"/>
    <x v="3"/>
    <x v="7"/>
    <n v="14.3"/>
    <n v="19.11"/>
    <n v="418"/>
    <x v="89"/>
    <n v="96"/>
    <n v="73"/>
    <x v="1"/>
    <n v="4.8099999999999987"/>
    <n v="6153.42"/>
    <x v="259"/>
  </r>
  <r>
    <s v="PRD-1261"/>
    <x v="65"/>
    <x v="1"/>
    <x v="6"/>
    <n v="16.78"/>
    <n v="35.24"/>
    <n v="94"/>
    <x v="131"/>
    <n v="60"/>
    <n v="20"/>
    <x v="1"/>
    <n v="18.46"/>
    <n v="1198.1600000000001"/>
    <x v="260"/>
  </r>
  <r>
    <s v="PRD-1262"/>
    <x v="55"/>
    <x v="1"/>
    <x v="8"/>
    <n v="13.31"/>
    <n v="28.25"/>
    <n v="320"/>
    <x v="169"/>
    <n v="86"/>
    <n v="72"/>
    <x v="1"/>
    <n v="14.94"/>
    <n v="6610.5"/>
    <x v="261"/>
  </r>
  <r>
    <s v="PRD-1263"/>
    <x v="1"/>
    <x v="1"/>
    <x v="4"/>
    <n v="15.39"/>
    <n v="28.86"/>
    <n v="106"/>
    <x v="8"/>
    <n v="47"/>
    <n v="18"/>
    <x v="1"/>
    <n v="13.469999999999999"/>
    <n v="1702.74"/>
    <x v="262"/>
  </r>
  <r>
    <s v="PRD-1264"/>
    <x v="75"/>
    <x v="3"/>
    <x v="5"/>
    <n v="18.09"/>
    <n v="38.840000000000003"/>
    <n v="420"/>
    <x v="170"/>
    <n v="250"/>
    <n v="95"/>
    <x v="1"/>
    <n v="20.750000000000004"/>
    <n v="6602.8"/>
    <x v="263"/>
  </r>
  <r>
    <s v="PRD-1265"/>
    <x v="68"/>
    <x v="5"/>
    <x v="0"/>
    <n v="6.69"/>
    <n v="11.15"/>
    <n v="156"/>
    <x v="171"/>
    <n v="47"/>
    <n v="33"/>
    <x v="1"/>
    <n v="4.46"/>
    <n v="1215.3500000000001"/>
    <x v="264"/>
  </r>
  <r>
    <s v="PRD-1266"/>
    <x v="67"/>
    <x v="7"/>
    <x v="2"/>
    <n v="42.3"/>
    <n v="92.89"/>
    <n v="288"/>
    <x v="172"/>
    <n v="119"/>
    <n v="35"/>
    <x v="1"/>
    <n v="50.59"/>
    <n v="15698.41"/>
    <x v="265"/>
  </r>
  <r>
    <s v="PRD-1267"/>
    <x v="1"/>
    <x v="1"/>
    <x v="3"/>
    <n v="18.2"/>
    <n v="24"/>
    <n v="375"/>
    <x v="173"/>
    <n v="101"/>
    <n v="84"/>
    <x v="1"/>
    <n v="5.8000000000000007"/>
    <n v="6576"/>
    <x v="266"/>
  </r>
  <r>
    <s v="PRD-1268"/>
    <x v="12"/>
    <x v="6"/>
    <x v="7"/>
    <n v="12.8"/>
    <n v="21.71"/>
    <n v="382"/>
    <x v="71"/>
    <n v="340"/>
    <n v="83"/>
    <x v="1"/>
    <n v="8.91"/>
    <n v="911.82"/>
    <x v="267"/>
  </r>
  <r>
    <s v="PRD-1269"/>
    <x v="7"/>
    <x v="2"/>
    <x v="2"/>
    <n v="23.19"/>
    <n v="39.67"/>
    <n v="121"/>
    <x v="114"/>
    <n v="92"/>
    <n v="14"/>
    <x v="1"/>
    <n v="16.48"/>
    <n v="1150.43"/>
    <x v="268"/>
  </r>
  <r>
    <s v="PRD-1270"/>
    <x v="2"/>
    <x v="2"/>
    <x v="1"/>
    <n v="5.09"/>
    <n v="8.6300000000000008"/>
    <n v="168"/>
    <x v="48"/>
    <n v="39"/>
    <n v="34"/>
    <x v="1"/>
    <n v="3.5400000000000009"/>
    <n v="1113.2700000000002"/>
    <x v="269"/>
  </r>
  <r>
    <s v="PRD-1271"/>
    <x v="59"/>
    <x v="0"/>
    <x v="9"/>
    <n v="14.44"/>
    <n v="20.67"/>
    <n v="409"/>
    <x v="82"/>
    <n v="58"/>
    <n v="93"/>
    <x v="0"/>
    <n v="6.2300000000000022"/>
    <n v="7255.170000000001"/>
    <x v="270"/>
  </r>
  <r>
    <s v="PRD-1272"/>
    <x v="42"/>
    <x v="6"/>
    <x v="5"/>
    <n v="29.72"/>
    <n v="45.88"/>
    <n v="60"/>
    <x v="142"/>
    <n v="37"/>
    <n v="9"/>
    <x v="1"/>
    <n v="16.160000000000004"/>
    <n v="1055.24"/>
    <x v="271"/>
  </r>
  <r>
    <s v="PRD-1273"/>
    <x v="46"/>
    <x v="7"/>
    <x v="8"/>
    <n v="19.43"/>
    <n v="30.37"/>
    <n v="105"/>
    <x v="30"/>
    <n v="89"/>
    <n v="17"/>
    <x v="1"/>
    <n v="10.940000000000001"/>
    <n v="485.92"/>
    <x v="272"/>
  </r>
  <r>
    <s v="PRD-1274"/>
    <x v="2"/>
    <x v="2"/>
    <x v="1"/>
    <n v="24.79"/>
    <n v="46.55"/>
    <n v="499"/>
    <x v="120"/>
    <n v="364"/>
    <n v="82"/>
    <x v="1"/>
    <n v="21.759999999999998"/>
    <n v="6284.25"/>
    <x v="273"/>
  </r>
  <r>
    <s v="PRD-1275"/>
    <x v="76"/>
    <x v="5"/>
    <x v="6"/>
    <n v="5.34"/>
    <n v="7.82"/>
    <n v="271"/>
    <x v="42"/>
    <n v="47"/>
    <n v="36"/>
    <x v="1"/>
    <n v="2.4800000000000004"/>
    <n v="1751.68"/>
    <x v="274"/>
  </r>
  <r>
    <s v="PRD-1276"/>
    <x v="53"/>
    <x v="7"/>
    <x v="9"/>
    <n v="4.49"/>
    <n v="9.8699999999999992"/>
    <n v="58"/>
    <x v="77"/>
    <n v="10"/>
    <n v="6"/>
    <x v="1"/>
    <n v="5.379999999999999"/>
    <n v="473.76"/>
    <x v="275"/>
  </r>
  <r>
    <s v="PRD-1277"/>
    <x v="22"/>
    <x v="3"/>
    <x v="2"/>
    <n v="20.93"/>
    <n v="36.58"/>
    <n v="356"/>
    <x v="73"/>
    <n v="240"/>
    <n v="37"/>
    <x v="1"/>
    <n v="15.649999999999999"/>
    <n v="4243.28"/>
    <x v="276"/>
  </r>
  <r>
    <s v="PRD-1278"/>
    <x v="30"/>
    <x v="4"/>
    <x v="7"/>
    <n v="6.22"/>
    <n v="12.75"/>
    <n v="271"/>
    <x v="29"/>
    <n v="112"/>
    <n v="60"/>
    <x v="1"/>
    <n v="6.53"/>
    <n v="2027.25"/>
    <x v="277"/>
  </r>
  <r>
    <s v="PRD-1279"/>
    <x v="77"/>
    <x v="7"/>
    <x v="7"/>
    <n v="16.510000000000002"/>
    <n v="30.78"/>
    <n v="148"/>
    <x v="120"/>
    <n v="13"/>
    <n v="27"/>
    <x v="0"/>
    <n v="14.27"/>
    <n v="4155.3"/>
    <x v="278"/>
  </r>
  <r>
    <s v="PRD-1280"/>
    <x v="54"/>
    <x v="6"/>
    <x v="7"/>
    <n v="24.98"/>
    <n v="32.72"/>
    <n v="387"/>
    <x v="51"/>
    <n v="312"/>
    <n v="85"/>
    <x v="1"/>
    <n v="7.7399999999999984"/>
    <n v="2454"/>
    <x v="279"/>
  </r>
  <r>
    <s v="PRD-1281"/>
    <x v="32"/>
    <x v="4"/>
    <x v="1"/>
    <n v="11.18"/>
    <n v="24.42"/>
    <n v="285"/>
    <x v="127"/>
    <n v="245"/>
    <n v="35"/>
    <x v="1"/>
    <n v="13.240000000000002"/>
    <n v="976.80000000000007"/>
    <x v="280"/>
  </r>
  <r>
    <s v="PRD-1282"/>
    <x v="47"/>
    <x v="4"/>
    <x v="9"/>
    <n v="3.92"/>
    <n v="5.34"/>
    <n v="277"/>
    <x v="87"/>
    <n v="100"/>
    <n v="53"/>
    <x v="1"/>
    <n v="1.42"/>
    <n v="945.18"/>
    <x v="281"/>
  </r>
  <r>
    <s v="PRD-1283"/>
    <x v="27"/>
    <x v="7"/>
    <x v="4"/>
    <n v="19.16"/>
    <n v="30.17"/>
    <n v="359"/>
    <x v="174"/>
    <n v="32"/>
    <n v="51"/>
    <x v="0"/>
    <n v="11.010000000000002"/>
    <n v="9865.59"/>
    <x v="282"/>
  </r>
  <r>
    <s v="PRD-1284"/>
    <x v="77"/>
    <x v="7"/>
    <x v="4"/>
    <n v="61.97"/>
    <n v="110.17"/>
    <n v="466"/>
    <x v="175"/>
    <n v="220"/>
    <n v="98"/>
    <x v="1"/>
    <n v="48.2"/>
    <n v="27101.82"/>
    <x v="283"/>
  </r>
  <r>
    <s v="PRD-1285"/>
    <x v="66"/>
    <x v="3"/>
    <x v="8"/>
    <n v="9.6199999999999992"/>
    <n v="21.04"/>
    <n v="394"/>
    <x v="99"/>
    <n v="298"/>
    <n v="41"/>
    <x v="1"/>
    <n v="11.42"/>
    <n v="2019.84"/>
    <x v="284"/>
  </r>
  <r>
    <s v="PRD-1286"/>
    <x v="53"/>
    <x v="7"/>
    <x v="1"/>
    <n v="14.38"/>
    <n v="21.65"/>
    <n v="240"/>
    <x v="176"/>
    <n v="205"/>
    <n v="26"/>
    <x v="1"/>
    <n v="7.2699999999999978"/>
    <n v="757.75"/>
    <x v="285"/>
  </r>
  <r>
    <s v="PRD-1287"/>
    <x v="57"/>
    <x v="6"/>
    <x v="5"/>
    <n v="13.89"/>
    <n v="22.67"/>
    <n v="388"/>
    <x v="106"/>
    <n v="321"/>
    <n v="82"/>
    <x v="1"/>
    <n v="8.7800000000000011"/>
    <n v="1518.89"/>
    <x v="286"/>
  </r>
  <r>
    <s v="PRD-1288"/>
    <x v="53"/>
    <x v="7"/>
    <x v="5"/>
    <n v="33.11"/>
    <n v="61.05"/>
    <n v="81"/>
    <x v="44"/>
    <n v="43"/>
    <n v="14"/>
    <x v="1"/>
    <n v="27.939999999999998"/>
    <n v="2319.9"/>
    <x v="287"/>
  </r>
  <r>
    <s v="PRD-1289"/>
    <x v="5"/>
    <x v="4"/>
    <x v="9"/>
    <n v="6.43"/>
    <n v="8.7899999999999991"/>
    <n v="350"/>
    <x v="177"/>
    <n v="70"/>
    <n v="68"/>
    <x v="1"/>
    <n v="2.3599999999999994"/>
    <n v="2461.1999999999998"/>
    <x v="288"/>
  </r>
  <r>
    <s v="PRD-1290"/>
    <x v="51"/>
    <x v="5"/>
    <x v="5"/>
    <n v="1.17"/>
    <n v="1.55"/>
    <n v="251"/>
    <x v="124"/>
    <n v="129"/>
    <n v="52"/>
    <x v="1"/>
    <n v="0.38000000000000012"/>
    <n v="189.1"/>
    <x v="289"/>
  </r>
  <r>
    <s v="PRD-1291"/>
    <x v="55"/>
    <x v="1"/>
    <x v="5"/>
    <n v="1.5"/>
    <n v="2.36"/>
    <n v="326"/>
    <x v="81"/>
    <n v="287"/>
    <n v="43"/>
    <x v="1"/>
    <n v="0.85999999999999988"/>
    <n v="92.039999999999992"/>
    <x v="290"/>
  </r>
  <r>
    <s v="PRD-1292"/>
    <x v="69"/>
    <x v="4"/>
    <x v="8"/>
    <n v="9.77"/>
    <n v="13.64"/>
    <n v="346"/>
    <x v="124"/>
    <n v="224"/>
    <n v="47"/>
    <x v="1"/>
    <n v="3.870000000000001"/>
    <n v="1664.0800000000002"/>
    <x v="291"/>
  </r>
  <r>
    <s v="PRD-1293"/>
    <x v="35"/>
    <x v="4"/>
    <x v="1"/>
    <n v="6.55"/>
    <n v="9.36"/>
    <n v="430"/>
    <x v="31"/>
    <n v="143"/>
    <n v="105"/>
    <x v="1"/>
    <n v="2.8099999999999996"/>
    <n v="2686.3199999999997"/>
    <x v="292"/>
  </r>
  <r>
    <s v="PRD-1294"/>
    <x v="77"/>
    <x v="7"/>
    <x v="2"/>
    <n v="5.01"/>
    <n v="6.53"/>
    <n v="286"/>
    <x v="178"/>
    <n v="154"/>
    <n v="52"/>
    <x v="1"/>
    <n v="1.5200000000000005"/>
    <n v="861.96"/>
    <x v="293"/>
  </r>
  <r>
    <s v="PRD-1295"/>
    <x v="18"/>
    <x v="1"/>
    <x v="5"/>
    <n v="10.38"/>
    <n v="21.98"/>
    <n v="394"/>
    <x v="179"/>
    <n v="55"/>
    <n v="88"/>
    <x v="0"/>
    <n v="11.6"/>
    <n v="7451.22"/>
    <x v="294"/>
  </r>
  <r>
    <s v="PRD-1296"/>
    <x v="42"/>
    <x v="6"/>
    <x v="4"/>
    <n v="15.51"/>
    <n v="30.54"/>
    <n v="343"/>
    <x v="180"/>
    <n v="204"/>
    <n v="48"/>
    <x v="1"/>
    <n v="15.03"/>
    <n v="4245.0599999999995"/>
    <x v="295"/>
  </r>
  <r>
    <s v="PRD-1297"/>
    <x v="78"/>
    <x v="1"/>
    <x v="2"/>
    <n v="2.87"/>
    <n v="4.8099999999999996"/>
    <n v="77"/>
    <x v="93"/>
    <n v="17"/>
    <n v="17"/>
    <x v="0"/>
    <n v="1.9399999999999995"/>
    <n v="288.59999999999997"/>
    <x v="296"/>
  </r>
  <r>
    <s v="PRD-1298"/>
    <x v="37"/>
    <x v="6"/>
    <x v="8"/>
    <n v="13.12"/>
    <n v="23.27"/>
    <n v="211"/>
    <x v="171"/>
    <n v="102"/>
    <n v="50"/>
    <x v="1"/>
    <n v="10.15"/>
    <n v="2536.4299999999998"/>
    <x v="297"/>
  </r>
  <r>
    <s v="PRD-1299"/>
    <x v="26"/>
    <x v="3"/>
    <x v="4"/>
    <n v="14.1"/>
    <n v="22.51"/>
    <n v="458"/>
    <x v="153"/>
    <n v="301"/>
    <n v="85"/>
    <x v="1"/>
    <n v="8.4100000000000019"/>
    <n v="3534.07"/>
    <x v="298"/>
  </r>
  <r>
    <s v="PRD-1300"/>
    <x v="25"/>
    <x v="5"/>
    <x v="9"/>
    <n v="9.77"/>
    <n v="13.09"/>
    <n v="480"/>
    <x v="74"/>
    <n v="68"/>
    <n v="78"/>
    <x v="0"/>
    <n v="3.3200000000000003"/>
    <n v="5393.08"/>
    <x v="299"/>
  </r>
  <r>
    <s v="PRD-1301"/>
    <x v="53"/>
    <x v="7"/>
    <x v="8"/>
    <n v="52.97"/>
    <n v="90.15"/>
    <n v="301"/>
    <x v="181"/>
    <n v="65"/>
    <n v="71"/>
    <x v="0"/>
    <n v="37.180000000000007"/>
    <n v="21275.4"/>
    <x v="300"/>
  </r>
  <r>
    <s v="PRD-1302"/>
    <x v="16"/>
    <x v="0"/>
    <x v="8"/>
    <n v="7.51"/>
    <n v="15.1"/>
    <n v="259"/>
    <x v="57"/>
    <n v="203"/>
    <n v="50"/>
    <x v="1"/>
    <n v="7.59"/>
    <n v="845.6"/>
    <x v="301"/>
  </r>
  <r>
    <s v="PRD-1303"/>
    <x v="19"/>
    <x v="2"/>
    <x v="2"/>
    <n v="14.61"/>
    <n v="19.39"/>
    <n v="32"/>
    <x v="50"/>
    <n v="23"/>
    <n v="5"/>
    <x v="1"/>
    <n v="4.7800000000000011"/>
    <n v="174.51"/>
    <x v="302"/>
  </r>
  <r>
    <s v="PRD-1304"/>
    <x v="38"/>
    <x v="2"/>
    <x v="4"/>
    <n v="7.42"/>
    <n v="12.12"/>
    <n v="93"/>
    <x v="79"/>
    <n v="76"/>
    <n v="21"/>
    <x v="1"/>
    <n v="4.6999999999999993"/>
    <n v="206.04"/>
    <x v="303"/>
  </r>
  <r>
    <s v="PRD-1305"/>
    <x v="30"/>
    <x v="4"/>
    <x v="8"/>
    <n v="2.88"/>
    <n v="4.03"/>
    <n v="321"/>
    <x v="182"/>
    <n v="106"/>
    <n v="74"/>
    <x v="1"/>
    <n v="1.1500000000000004"/>
    <n v="866.45"/>
    <x v="304"/>
  </r>
  <r>
    <s v="PRD-1306"/>
    <x v="67"/>
    <x v="7"/>
    <x v="7"/>
    <n v="20.079999999999998"/>
    <n v="40.9"/>
    <n v="69"/>
    <x v="183"/>
    <n v="15"/>
    <n v="14"/>
    <x v="1"/>
    <n v="20.82"/>
    <n v="2208.6"/>
    <x v="305"/>
  </r>
  <r>
    <s v="PRD-1307"/>
    <x v="6"/>
    <x v="0"/>
    <x v="6"/>
    <n v="21.68"/>
    <n v="43.86"/>
    <n v="198"/>
    <x v="61"/>
    <n v="140"/>
    <n v="22"/>
    <x v="1"/>
    <n v="22.18"/>
    <n v="2543.88"/>
    <x v="306"/>
  </r>
  <r>
    <s v="PRD-1308"/>
    <x v="28"/>
    <x v="7"/>
    <x v="3"/>
    <n v="7.98"/>
    <n v="16.899999999999999"/>
    <n v="327"/>
    <x v="184"/>
    <n v="246"/>
    <n v="47"/>
    <x v="1"/>
    <n v="8.9199999999999982"/>
    <n v="1368.8999999999999"/>
    <x v="307"/>
  </r>
  <r>
    <s v="PRD-1309"/>
    <x v="23"/>
    <x v="0"/>
    <x v="9"/>
    <n v="10.96"/>
    <n v="20.34"/>
    <n v="442"/>
    <x v="185"/>
    <n v="69"/>
    <n v="56"/>
    <x v="1"/>
    <n v="9.379999999999999"/>
    <n v="7586.82"/>
    <x v="308"/>
  </r>
  <r>
    <s v="PRD-1310"/>
    <x v="64"/>
    <x v="2"/>
    <x v="2"/>
    <n v="24.93"/>
    <n v="42.84"/>
    <n v="130"/>
    <x v="186"/>
    <n v="19"/>
    <n v="30"/>
    <x v="0"/>
    <n v="17.910000000000004"/>
    <n v="4755.2400000000007"/>
    <x v="309"/>
  </r>
  <r>
    <s v="PRD-1311"/>
    <x v="79"/>
    <x v="4"/>
    <x v="2"/>
    <n v="8.24"/>
    <n v="16.43"/>
    <n v="247"/>
    <x v="110"/>
    <n v="177"/>
    <n v="37"/>
    <x v="1"/>
    <n v="8.19"/>
    <n v="1150.0999999999999"/>
    <x v="310"/>
  </r>
  <r>
    <s v="PRD-1312"/>
    <x v="60"/>
    <x v="1"/>
    <x v="8"/>
    <n v="19.600000000000001"/>
    <n v="37.42"/>
    <n v="293"/>
    <x v="184"/>
    <n v="212"/>
    <n v="55"/>
    <x v="1"/>
    <n v="17.82"/>
    <n v="3031.02"/>
    <x v="311"/>
  </r>
  <r>
    <s v="PRD-1313"/>
    <x v="15"/>
    <x v="5"/>
    <x v="6"/>
    <n v="6.18"/>
    <n v="10.83"/>
    <n v="137"/>
    <x v="5"/>
    <n v="85"/>
    <n v="19"/>
    <x v="1"/>
    <n v="4.6500000000000004"/>
    <n v="563.16"/>
    <x v="312"/>
  </r>
  <r>
    <s v="PRD-1314"/>
    <x v="55"/>
    <x v="1"/>
    <x v="5"/>
    <n v="6.53"/>
    <n v="10.9"/>
    <n v="335"/>
    <x v="40"/>
    <n v="92"/>
    <n v="79"/>
    <x v="1"/>
    <n v="4.37"/>
    <n v="2648.7000000000003"/>
    <x v="313"/>
  </r>
  <r>
    <s v="PRD-1315"/>
    <x v="42"/>
    <x v="6"/>
    <x v="7"/>
    <n v="28.78"/>
    <n v="47.33"/>
    <n v="74"/>
    <x v="187"/>
    <n v="30"/>
    <n v="15"/>
    <x v="1"/>
    <n v="18.549999999999997"/>
    <n v="2082.52"/>
    <x v="314"/>
  </r>
  <r>
    <s v="PRD-1316"/>
    <x v="59"/>
    <x v="0"/>
    <x v="2"/>
    <n v="4.7699999999999996"/>
    <n v="8.43"/>
    <n v="429"/>
    <x v="188"/>
    <n v="284"/>
    <n v="53"/>
    <x v="1"/>
    <n v="3.66"/>
    <n v="1222.3499999999999"/>
    <x v="315"/>
  </r>
  <r>
    <s v="PRD-1317"/>
    <x v="10"/>
    <x v="5"/>
    <x v="7"/>
    <n v="5.19"/>
    <n v="9.69"/>
    <n v="447"/>
    <x v="67"/>
    <n v="242"/>
    <n v="69"/>
    <x v="1"/>
    <n v="4.4999999999999991"/>
    <n v="1986.4499999999998"/>
    <x v="316"/>
  </r>
  <r>
    <s v="PRD-1318"/>
    <x v="52"/>
    <x v="1"/>
    <x v="5"/>
    <n v="1.25"/>
    <n v="1.81"/>
    <n v="468"/>
    <x v="189"/>
    <n v="167"/>
    <n v="58"/>
    <x v="1"/>
    <n v="0.56000000000000005"/>
    <n v="544.81000000000006"/>
    <x v="317"/>
  </r>
  <r>
    <s v="PRD-1319"/>
    <x v="73"/>
    <x v="5"/>
    <x v="3"/>
    <n v="2.44"/>
    <n v="4.09"/>
    <n v="184"/>
    <x v="77"/>
    <n v="136"/>
    <n v="41"/>
    <x v="1"/>
    <n v="1.65"/>
    <n v="196.32"/>
    <x v="318"/>
  </r>
  <r>
    <s v="PRD-1320"/>
    <x v="54"/>
    <x v="6"/>
    <x v="1"/>
    <n v="24.29"/>
    <n v="33.9"/>
    <n v="101"/>
    <x v="115"/>
    <n v="55"/>
    <n v="21"/>
    <x v="1"/>
    <n v="9.61"/>
    <n v="1559.3999999999999"/>
    <x v="319"/>
  </r>
  <r>
    <s v="PRD-1321"/>
    <x v="53"/>
    <x v="7"/>
    <x v="0"/>
    <n v="56.25"/>
    <n v="82.79"/>
    <n v="141"/>
    <x v="48"/>
    <n v="12"/>
    <n v="28"/>
    <x v="0"/>
    <n v="26.540000000000006"/>
    <n v="10679.910000000002"/>
    <x v="320"/>
  </r>
  <r>
    <s v="PRD-1322"/>
    <x v="4"/>
    <x v="0"/>
    <x v="8"/>
    <n v="7.98"/>
    <n v="10.76"/>
    <n v="199"/>
    <x v="139"/>
    <n v="35"/>
    <n v="30"/>
    <x v="1"/>
    <n v="2.7799999999999994"/>
    <n v="1764.6399999999999"/>
    <x v="321"/>
  </r>
  <r>
    <s v="PRD-1323"/>
    <x v="66"/>
    <x v="3"/>
    <x v="0"/>
    <n v="9.11"/>
    <n v="19.87"/>
    <n v="250"/>
    <x v="99"/>
    <n v="154"/>
    <n v="58"/>
    <x v="1"/>
    <n v="10.760000000000002"/>
    <n v="1907.52"/>
    <x v="322"/>
  </r>
  <r>
    <s v="PRD-1324"/>
    <x v="7"/>
    <x v="2"/>
    <x v="3"/>
    <n v="1.38"/>
    <n v="2.96"/>
    <n v="485"/>
    <x v="190"/>
    <n v="189"/>
    <n v="88"/>
    <x v="1"/>
    <n v="1.58"/>
    <n v="876.16"/>
    <x v="323"/>
  </r>
  <r>
    <s v="PRD-1325"/>
    <x v="42"/>
    <x v="6"/>
    <x v="3"/>
    <n v="26.15"/>
    <n v="50.63"/>
    <n v="33"/>
    <x v="1"/>
    <n v="23"/>
    <n v="4"/>
    <x v="1"/>
    <n v="24.480000000000004"/>
    <n v="506.3"/>
    <x v="324"/>
  </r>
  <r>
    <s v="PRD-1326"/>
    <x v="18"/>
    <x v="1"/>
    <x v="6"/>
    <n v="2.57"/>
    <n v="3.93"/>
    <n v="45"/>
    <x v="66"/>
    <n v="19"/>
    <n v="8"/>
    <x v="1"/>
    <n v="1.3600000000000003"/>
    <n v="102.18"/>
    <x v="325"/>
  </r>
  <r>
    <s v="PRD-1327"/>
    <x v="51"/>
    <x v="5"/>
    <x v="9"/>
    <n v="9.39"/>
    <n v="16.47"/>
    <n v="70"/>
    <x v="5"/>
    <n v="18"/>
    <n v="9"/>
    <x v="1"/>
    <n v="7.0799999999999983"/>
    <n v="856.43999999999994"/>
    <x v="326"/>
  </r>
  <r>
    <s v="PRD-1328"/>
    <x v="7"/>
    <x v="2"/>
    <x v="5"/>
    <n v="17.66"/>
    <n v="28.54"/>
    <n v="240"/>
    <x v="68"/>
    <n v="62"/>
    <n v="26"/>
    <x v="1"/>
    <n v="10.879999999999999"/>
    <n v="5080.12"/>
    <x v="327"/>
  </r>
  <r>
    <s v="PRD-1329"/>
    <x v="5"/>
    <x v="4"/>
    <x v="3"/>
    <n v="3.76"/>
    <n v="4.97"/>
    <n v="108"/>
    <x v="80"/>
    <n v="7"/>
    <n v="12"/>
    <x v="0"/>
    <n v="1.21"/>
    <n v="501.96999999999997"/>
    <x v="328"/>
  </r>
  <r>
    <s v="PRD-1330"/>
    <x v="37"/>
    <x v="6"/>
    <x v="8"/>
    <n v="33.5"/>
    <n v="66.38"/>
    <n v="411"/>
    <x v="191"/>
    <n v="29"/>
    <n v="63"/>
    <x v="0"/>
    <n v="32.879999999999995"/>
    <n v="25357.16"/>
    <x v="329"/>
  </r>
  <r>
    <s v="PRD-1331"/>
    <x v="58"/>
    <x v="6"/>
    <x v="8"/>
    <n v="34.229999999999997"/>
    <n v="67.739999999999995"/>
    <n v="52"/>
    <x v="94"/>
    <n v="16"/>
    <n v="12"/>
    <x v="1"/>
    <n v="33.51"/>
    <n v="2438.64"/>
    <x v="330"/>
  </r>
  <r>
    <s v="PRD-1332"/>
    <x v="78"/>
    <x v="1"/>
    <x v="4"/>
    <n v="7.47"/>
    <n v="13.03"/>
    <n v="316"/>
    <x v="43"/>
    <n v="78"/>
    <n v="44"/>
    <x v="1"/>
    <n v="5.56"/>
    <n v="3101.14"/>
    <x v="331"/>
  </r>
  <r>
    <s v="PRD-1333"/>
    <x v="31"/>
    <x v="6"/>
    <x v="0"/>
    <n v="28.78"/>
    <n v="45.78"/>
    <n v="476"/>
    <x v="95"/>
    <n v="277"/>
    <n v="117"/>
    <x v="1"/>
    <n v="17"/>
    <n v="9110.2199999999993"/>
    <x v="332"/>
  </r>
  <r>
    <s v="PRD-1334"/>
    <x v="62"/>
    <x v="7"/>
    <x v="9"/>
    <n v="25.5"/>
    <n v="41.87"/>
    <n v="151"/>
    <x v="176"/>
    <n v="116"/>
    <n v="27"/>
    <x v="1"/>
    <n v="16.369999999999997"/>
    <n v="1465.4499999999998"/>
    <x v="333"/>
  </r>
  <r>
    <s v="PRD-1335"/>
    <x v="53"/>
    <x v="7"/>
    <x v="0"/>
    <n v="77.25"/>
    <n v="157.4"/>
    <n v="250"/>
    <x v="192"/>
    <n v="53"/>
    <n v="30"/>
    <x v="1"/>
    <n v="80.150000000000006"/>
    <n v="31007.800000000003"/>
    <x v="334"/>
  </r>
  <r>
    <s v="PRD-1336"/>
    <x v="33"/>
    <x v="6"/>
    <x v="5"/>
    <n v="27.16"/>
    <n v="43.94"/>
    <n v="108"/>
    <x v="49"/>
    <n v="53"/>
    <n v="17"/>
    <x v="1"/>
    <n v="16.779999999999998"/>
    <n v="2416.6999999999998"/>
    <x v="335"/>
  </r>
  <r>
    <s v="PRD-1337"/>
    <x v="22"/>
    <x v="3"/>
    <x v="1"/>
    <n v="13.51"/>
    <n v="18.829999999999998"/>
    <n v="414"/>
    <x v="193"/>
    <n v="353"/>
    <n v="83"/>
    <x v="1"/>
    <n v="5.3199999999999985"/>
    <n v="1148.6299999999999"/>
    <x v="336"/>
  </r>
  <r>
    <s v="PRD-1338"/>
    <x v="49"/>
    <x v="6"/>
    <x v="2"/>
    <n v="26.22"/>
    <n v="52.34"/>
    <n v="403"/>
    <x v="194"/>
    <n v="298"/>
    <n v="62"/>
    <x v="1"/>
    <n v="26.120000000000005"/>
    <n v="5495.7000000000007"/>
    <x v="337"/>
  </r>
  <r>
    <s v="PRD-1339"/>
    <x v="2"/>
    <x v="2"/>
    <x v="3"/>
    <n v="19.98"/>
    <n v="28.11"/>
    <n v="366"/>
    <x v="195"/>
    <n v="271"/>
    <n v="75"/>
    <x v="1"/>
    <n v="8.129999999999999"/>
    <n v="2670.45"/>
    <x v="338"/>
  </r>
  <r>
    <s v="PRD-1340"/>
    <x v="67"/>
    <x v="7"/>
    <x v="5"/>
    <n v="68.2"/>
    <n v="134.27000000000001"/>
    <n v="342"/>
    <x v="196"/>
    <n v="111"/>
    <n v="51"/>
    <x v="1"/>
    <n v="66.070000000000007"/>
    <n v="31016.370000000003"/>
    <x v="339"/>
  </r>
  <r>
    <s v="PRD-1341"/>
    <x v="70"/>
    <x v="3"/>
    <x v="8"/>
    <n v="5.07"/>
    <n v="7.51"/>
    <n v="289"/>
    <x v="197"/>
    <n v="232"/>
    <n v="63"/>
    <x v="1"/>
    <n v="2.4399999999999995"/>
    <n v="428.07"/>
    <x v="340"/>
  </r>
  <r>
    <s v="PRD-1342"/>
    <x v="70"/>
    <x v="3"/>
    <x v="2"/>
    <n v="24.51"/>
    <n v="41"/>
    <n v="276"/>
    <x v="117"/>
    <n v="229"/>
    <n v="50"/>
    <x v="1"/>
    <n v="16.489999999999998"/>
    <n v="1927"/>
    <x v="341"/>
  </r>
  <r>
    <s v="PRD-1343"/>
    <x v="76"/>
    <x v="5"/>
    <x v="9"/>
    <n v="4.92"/>
    <n v="8.16"/>
    <n v="229"/>
    <x v="198"/>
    <n v="126"/>
    <n v="39"/>
    <x v="1"/>
    <n v="3.24"/>
    <n v="840.48"/>
    <x v="342"/>
  </r>
  <r>
    <s v="PRD-1344"/>
    <x v="7"/>
    <x v="2"/>
    <x v="8"/>
    <n v="18.11"/>
    <n v="28.51"/>
    <n v="188"/>
    <x v="94"/>
    <n v="152"/>
    <n v="19"/>
    <x v="1"/>
    <n v="10.400000000000002"/>
    <n v="1026.3600000000001"/>
    <x v="343"/>
  </r>
  <r>
    <s v="PRD-1345"/>
    <x v="28"/>
    <x v="7"/>
    <x v="2"/>
    <n v="12.29"/>
    <n v="24.56"/>
    <n v="114"/>
    <x v="75"/>
    <n v="93"/>
    <n v="26"/>
    <x v="1"/>
    <n v="12.27"/>
    <n v="515.76"/>
    <x v="344"/>
  </r>
  <r>
    <s v="PRD-1346"/>
    <x v="75"/>
    <x v="3"/>
    <x v="9"/>
    <n v="24.34"/>
    <n v="44.96"/>
    <n v="204"/>
    <x v="199"/>
    <n v="43"/>
    <n v="24"/>
    <x v="1"/>
    <n v="20.62"/>
    <n v="7238.56"/>
    <x v="345"/>
  </r>
  <r>
    <s v="PRD-1347"/>
    <x v="38"/>
    <x v="2"/>
    <x v="5"/>
    <n v="24.97"/>
    <n v="48.94"/>
    <n v="276"/>
    <x v="188"/>
    <n v="131"/>
    <n v="34"/>
    <x v="1"/>
    <n v="23.97"/>
    <n v="7096.2999999999993"/>
    <x v="346"/>
  </r>
  <r>
    <s v="PRD-1348"/>
    <x v="13"/>
    <x v="2"/>
    <x v="5"/>
    <n v="14.42"/>
    <n v="25.33"/>
    <n v="145"/>
    <x v="164"/>
    <n v="74"/>
    <n v="15"/>
    <x v="1"/>
    <n v="10.909999999999998"/>
    <n v="1798.4299999999998"/>
    <x v="347"/>
  </r>
  <r>
    <s v="PRD-1349"/>
    <x v="77"/>
    <x v="7"/>
    <x v="3"/>
    <n v="43.26"/>
    <n v="68.53"/>
    <n v="30"/>
    <x v="200"/>
    <n v="27"/>
    <n v="4"/>
    <x v="1"/>
    <n v="25.270000000000003"/>
    <n v="205.59"/>
    <x v="348"/>
  </r>
  <r>
    <s v="PRD-1350"/>
    <x v="71"/>
    <x v="0"/>
    <x v="9"/>
    <n v="22.41"/>
    <n v="38.97"/>
    <n v="31"/>
    <x v="56"/>
    <n v="20"/>
    <n v="5"/>
    <x v="1"/>
    <n v="16.559999999999999"/>
    <n v="428.66999999999996"/>
    <x v="349"/>
  </r>
  <r>
    <s v="PRD-1351"/>
    <x v="3"/>
    <x v="3"/>
    <x v="8"/>
    <n v="2.09"/>
    <n v="3.71"/>
    <n v="112"/>
    <x v="201"/>
    <n v="12"/>
    <n v="17"/>
    <x v="0"/>
    <n v="1.62"/>
    <n v="371"/>
    <x v="350"/>
  </r>
  <r>
    <s v="PRD-1352"/>
    <x v="14"/>
    <x v="1"/>
    <x v="3"/>
    <n v="15.07"/>
    <n v="28.39"/>
    <n v="118"/>
    <x v="202"/>
    <n v="67"/>
    <n v="16"/>
    <x v="1"/>
    <n v="13.32"/>
    <n v="1447.89"/>
    <x v="351"/>
  </r>
  <r>
    <s v="PRD-1353"/>
    <x v="79"/>
    <x v="4"/>
    <x v="8"/>
    <n v="1.47"/>
    <n v="2.76"/>
    <n v="304"/>
    <x v="203"/>
    <n v="198"/>
    <n v="48"/>
    <x v="1"/>
    <n v="1.2899999999999998"/>
    <n v="292.56"/>
    <x v="352"/>
  </r>
  <r>
    <s v="PRD-1354"/>
    <x v="12"/>
    <x v="6"/>
    <x v="1"/>
    <n v="17.23"/>
    <n v="22.64"/>
    <n v="446"/>
    <x v="62"/>
    <n v="240"/>
    <n v="84"/>
    <x v="1"/>
    <n v="5.41"/>
    <n v="4663.84"/>
    <x v="353"/>
  </r>
  <r>
    <s v="PRD-1355"/>
    <x v="72"/>
    <x v="6"/>
    <x v="9"/>
    <n v="6.87"/>
    <n v="12.08"/>
    <n v="428"/>
    <x v="129"/>
    <n v="153"/>
    <n v="82"/>
    <x v="1"/>
    <n v="5.21"/>
    <n v="3322"/>
    <x v="354"/>
  </r>
  <r>
    <s v="PRD-1356"/>
    <x v="3"/>
    <x v="3"/>
    <x v="0"/>
    <n v="19.309999999999999"/>
    <n v="39.950000000000003"/>
    <n v="383"/>
    <x v="204"/>
    <n v="179"/>
    <n v="93"/>
    <x v="1"/>
    <n v="20.640000000000004"/>
    <n v="8149.8"/>
    <x v="355"/>
  </r>
  <r>
    <s v="PRD-1357"/>
    <x v="76"/>
    <x v="5"/>
    <x v="7"/>
    <n v="0.83"/>
    <n v="1.74"/>
    <n v="373"/>
    <x v="205"/>
    <n v="65"/>
    <n v="55"/>
    <x v="1"/>
    <n v="0.91"/>
    <n v="535.91999999999996"/>
    <x v="356"/>
  </r>
  <r>
    <s v="PRD-1358"/>
    <x v="0"/>
    <x v="0"/>
    <x v="5"/>
    <n v="12.64"/>
    <n v="27.59"/>
    <n v="106"/>
    <x v="56"/>
    <n v="95"/>
    <n v="19"/>
    <x v="1"/>
    <n v="14.95"/>
    <n v="303.49"/>
    <x v="357"/>
  </r>
  <r>
    <s v="PRD-1359"/>
    <x v="78"/>
    <x v="1"/>
    <x v="1"/>
    <n v="13.89"/>
    <n v="27.32"/>
    <n v="125"/>
    <x v="138"/>
    <n v="8"/>
    <n v="16"/>
    <x v="0"/>
    <n v="13.43"/>
    <n v="3196.44"/>
    <x v="358"/>
  </r>
  <r>
    <s v="PRD-1360"/>
    <x v="25"/>
    <x v="5"/>
    <x v="4"/>
    <n v="3.84"/>
    <n v="5.26"/>
    <n v="141"/>
    <x v="197"/>
    <n v="84"/>
    <n v="31"/>
    <x v="1"/>
    <n v="1.42"/>
    <n v="299.82"/>
    <x v="359"/>
  </r>
  <r>
    <s v="PRD-1361"/>
    <x v="9"/>
    <x v="0"/>
    <x v="4"/>
    <n v="14.51"/>
    <n v="25.95"/>
    <n v="279"/>
    <x v="81"/>
    <n v="240"/>
    <n v="34"/>
    <x v="1"/>
    <n v="11.44"/>
    <n v="1012.05"/>
    <x v="360"/>
  </r>
  <r>
    <s v="PRD-1362"/>
    <x v="8"/>
    <x v="2"/>
    <x v="9"/>
    <n v="2.08"/>
    <n v="2.71"/>
    <n v="437"/>
    <x v="206"/>
    <n v="78"/>
    <n v="44"/>
    <x v="1"/>
    <n v="0.62999999999999989"/>
    <n v="972.89"/>
    <x v="361"/>
  </r>
  <r>
    <s v="PRD-1363"/>
    <x v="7"/>
    <x v="2"/>
    <x v="5"/>
    <n v="20.57"/>
    <n v="38"/>
    <n v="149"/>
    <x v="60"/>
    <n v="30"/>
    <n v="26"/>
    <x v="1"/>
    <n v="17.43"/>
    <n v="4522"/>
    <x v="362"/>
  </r>
  <r>
    <s v="PRD-1364"/>
    <x v="32"/>
    <x v="4"/>
    <x v="5"/>
    <n v="11.46"/>
    <n v="15.93"/>
    <n v="399"/>
    <x v="2"/>
    <n v="204"/>
    <n v="90"/>
    <x v="1"/>
    <n v="4.4699999999999989"/>
    <n v="3106.35"/>
    <x v="363"/>
  </r>
  <r>
    <s v="PRD-1365"/>
    <x v="51"/>
    <x v="5"/>
    <x v="0"/>
    <n v="14.11"/>
    <n v="23.39"/>
    <n v="194"/>
    <x v="178"/>
    <n v="62"/>
    <n v="45"/>
    <x v="1"/>
    <n v="9.2800000000000011"/>
    <n v="3087.48"/>
    <x v="364"/>
  </r>
  <r>
    <s v="PRD-1366"/>
    <x v="51"/>
    <x v="5"/>
    <x v="7"/>
    <n v="0.77"/>
    <n v="1.36"/>
    <n v="352"/>
    <x v="207"/>
    <n v="117"/>
    <n v="86"/>
    <x v="1"/>
    <n v="0.59000000000000008"/>
    <n v="319.60000000000002"/>
    <x v="365"/>
  </r>
  <r>
    <s v="PRD-1367"/>
    <x v="1"/>
    <x v="1"/>
    <x v="2"/>
    <n v="4.76"/>
    <n v="9.73"/>
    <n v="134"/>
    <x v="193"/>
    <n v="73"/>
    <n v="26"/>
    <x v="1"/>
    <n v="4.9700000000000006"/>
    <n v="593.53"/>
    <x v="366"/>
  </r>
  <r>
    <s v="PRD-1368"/>
    <x v="34"/>
    <x v="4"/>
    <x v="4"/>
    <n v="10.14"/>
    <n v="18.04"/>
    <n v="135"/>
    <x v="187"/>
    <n v="91"/>
    <n v="24"/>
    <x v="1"/>
    <n v="7.8999999999999986"/>
    <n v="793.76"/>
    <x v="367"/>
  </r>
  <r>
    <s v="PRD-1369"/>
    <x v="73"/>
    <x v="5"/>
    <x v="1"/>
    <n v="11.57"/>
    <n v="21.13"/>
    <n v="415"/>
    <x v="32"/>
    <n v="362"/>
    <n v="66"/>
    <x v="1"/>
    <n v="9.5599999999999987"/>
    <n v="1119.8899999999999"/>
    <x v="368"/>
  </r>
  <r>
    <s v="PRD-1370"/>
    <x v="8"/>
    <x v="2"/>
    <x v="4"/>
    <n v="1.92"/>
    <n v="3.91"/>
    <n v="90"/>
    <x v="75"/>
    <n v="69"/>
    <n v="20"/>
    <x v="1"/>
    <n v="1.9900000000000002"/>
    <n v="82.11"/>
    <x v="369"/>
  </r>
  <r>
    <s v="PRD-1371"/>
    <x v="22"/>
    <x v="3"/>
    <x v="9"/>
    <n v="5.69"/>
    <n v="9.66"/>
    <n v="322"/>
    <x v="208"/>
    <n v="143"/>
    <n v="64"/>
    <x v="1"/>
    <n v="3.9699999999999998"/>
    <n v="1729.14"/>
    <x v="370"/>
  </r>
  <r>
    <s v="PRD-1372"/>
    <x v="19"/>
    <x v="2"/>
    <x v="7"/>
    <n v="23.28"/>
    <n v="47.3"/>
    <n v="132"/>
    <x v="176"/>
    <n v="97"/>
    <n v="28"/>
    <x v="1"/>
    <n v="24.019999999999996"/>
    <n v="1655.5"/>
    <x v="371"/>
  </r>
  <r>
    <s v="PRD-1373"/>
    <x v="11"/>
    <x v="4"/>
    <x v="3"/>
    <n v="10.1"/>
    <n v="18.239999999999998"/>
    <n v="408"/>
    <x v="209"/>
    <n v="88"/>
    <n v="65"/>
    <x v="1"/>
    <n v="8.1399999999999988"/>
    <n v="5836.7999999999993"/>
    <x v="372"/>
  </r>
  <r>
    <s v="PRD-1374"/>
    <x v="45"/>
    <x v="5"/>
    <x v="3"/>
    <n v="14.74"/>
    <n v="32.35"/>
    <n v="259"/>
    <x v="43"/>
    <n v="21"/>
    <n v="41"/>
    <x v="0"/>
    <n v="17.61"/>
    <n v="7699.3"/>
    <x v="373"/>
  </r>
  <r>
    <s v="PRD-1375"/>
    <x v="24"/>
    <x v="5"/>
    <x v="1"/>
    <n v="10.35"/>
    <n v="21.11"/>
    <n v="124"/>
    <x v="210"/>
    <n v="75"/>
    <n v="22"/>
    <x v="1"/>
    <n v="10.76"/>
    <n v="1034.3899999999999"/>
    <x v="374"/>
  </r>
  <r>
    <s v="PRD-1376"/>
    <x v="53"/>
    <x v="7"/>
    <x v="7"/>
    <n v="37"/>
    <n v="55.01"/>
    <n v="102"/>
    <x v="211"/>
    <n v="38"/>
    <n v="20"/>
    <x v="1"/>
    <n v="18.009999999999998"/>
    <n v="3520.64"/>
    <x v="375"/>
  </r>
  <r>
    <s v="PRD-1377"/>
    <x v="30"/>
    <x v="4"/>
    <x v="4"/>
    <n v="8.42"/>
    <n v="11.82"/>
    <n v="247"/>
    <x v="93"/>
    <n v="187"/>
    <n v="45"/>
    <x v="1"/>
    <n v="3.4000000000000004"/>
    <n v="709.2"/>
    <x v="376"/>
  </r>
  <r>
    <s v="PRD-1378"/>
    <x v="20"/>
    <x v="3"/>
    <x v="3"/>
    <n v="21.98"/>
    <n v="47.88"/>
    <n v="395"/>
    <x v="152"/>
    <n v="126"/>
    <n v="89"/>
    <x v="1"/>
    <n v="25.900000000000002"/>
    <n v="12879.720000000001"/>
    <x v="377"/>
  </r>
  <r>
    <s v="PRD-1379"/>
    <x v="11"/>
    <x v="4"/>
    <x v="6"/>
    <n v="5.08"/>
    <n v="9.66"/>
    <n v="35"/>
    <x v="136"/>
    <n v="17"/>
    <n v="3"/>
    <x v="1"/>
    <n v="4.58"/>
    <n v="173.88"/>
    <x v="378"/>
  </r>
  <r>
    <s v="PRD-1380"/>
    <x v="76"/>
    <x v="5"/>
    <x v="6"/>
    <n v="10.79"/>
    <n v="21.89"/>
    <n v="123"/>
    <x v="26"/>
    <n v="21"/>
    <n v="30"/>
    <x v="0"/>
    <n v="11.100000000000001"/>
    <n v="2232.7800000000002"/>
    <x v="379"/>
  </r>
  <r>
    <s v="PRD-1381"/>
    <x v="18"/>
    <x v="1"/>
    <x v="8"/>
    <n v="10.36"/>
    <n v="16.8"/>
    <n v="131"/>
    <x v="99"/>
    <n v="35"/>
    <n v="20"/>
    <x v="1"/>
    <n v="6.4400000000000013"/>
    <n v="1612.8000000000002"/>
    <x v="380"/>
  </r>
  <r>
    <s v="PRD-1382"/>
    <x v="47"/>
    <x v="4"/>
    <x v="1"/>
    <n v="10.43"/>
    <n v="18.48"/>
    <n v="398"/>
    <x v="212"/>
    <n v="68"/>
    <n v="81"/>
    <x v="0"/>
    <n v="8.0500000000000007"/>
    <n v="6098.4000000000005"/>
    <x v="381"/>
  </r>
  <r>
    <s v="PRD-1383"/>
    <x v="67"/>
    <x v="7"/>
    <x v="4"/>
    <n v="40.840000000000003"/>
    <n v="53.48"/>
    <n v="200"/>
    <x v="17"/>
    <n v="159"/>
    <n v="20"/>
    <x v="1"/>
    <n v="12.639999999999993"/>
    <n v="2192.6799999999998"/>
    <x v="382"/>
  </r>
  <r>
    <s v="PRD-1384"/>
    <x v="41"/>
    <x v="2"/>
    <x v="8"/>
    <n v="6.1"/>
    <n v="10.92"/>
    <n v="162"/>
    <x v="71"/>
    <n v="120"/>
    <n v="31"/>
    <x v="1"/>
    <n v="4.82"/>
    <n v="458.64"/>
    <x v="383"/>
  </r>
  <r>
    <s v="PRD-1385"/>
    <x v="26"/>
    <x v="3"/>
    <x v="7"/>
    <n v="4.51"/>
    <n v="8.83"/>
    <n v="390"/>
    <x v="175"/>
    <n v="144"/>
    <n v="56"/>
    <x v="1"/>
    <n v="4.32"/>
    <n v="2172.1799999999998"/>
    <x v="384"/>
  </r>
  <r>
    <s v="PRD-1386"/>
    <x v="22"/>
    <x v="3"/>
    <x v="5"/>
    <n v="7.7"/>
    <n v="11.57"/>
    <n v="61"/>
    <x v="197"/>
    <n v="4"/>
    <n v="14"/>
    <x v="0"/>
    <n v="3.87"/>
    <n v="659.49"/>
    <x v="385"/>
  </r>
  <r>
    <s v="PRD-1387"/>
    <x v="64"/>
    <x v="2"/>
    <x v="7"/>
    <n v="23.54"/>
    <n v="34.9"/>
    <n v="411"/>
    <x v="213"/>
    <n v="112"/>
    <n v="100"/>
    <x v="1"/>
    <n v="11.36"/>
    <n v="10435.1"/>
    <x v="386"/>
  </r>
  <r>
    <s v="PRD-1388"/>
    <x v="34"/>
    <x v="4"/>
    <x v="4"/>
    <n v="7.26"/>
    <n v="10.48"/>
    <n v="73"/>
    <x v="8"/>
    <n v="14"/>
    <n v="7"/>
    <x v="1"/>
    <n v="3.2200000000000006"/>
    <n v="618.32000000000005"/>
    <x v="387"/>
  </r>
  <r>
    <s v="PRD-1389"/>
    <x v="37"/>
    <x v="6"/>
    <x v="3"/>
    <n v="34.74"/>
    <n v="45.36"/>
    <n v="39"/>
    <x v="9"/>
    <n v="25"/>
    <n v="7"/>
    <x v="1"/>
    <n v="10.619999999999997"/>
    <n v="635.04"/>
    <x v="388"/>
  </r>
  <r>
    <s v="PRD-1390"/>
    <x v="65"/>
    <x v="1"/>
    <x v="5"/>
    <n v="10.130000000000001"/>
    <n v="17.66"/>
    <n v="20"/>
    <x v="56"/>
    <n v="9"/>
    <n v="4"/>
    <x v="1"/>
    <n v="7.5299999999999994"/>
    <n v="194.26"/>
    <x v="389"/>
  </r>
  <r>
    <s v="PRD-1391"/>
    <x v="57"/>
    <x v="6"/>
    <x v="5"/>
    <n v="11.82"/>
    <n v="25.26"/>
    <n v="108"/>
    <x v="52"/>
    <n v="65"/>
    <n v="18"/>
    <x v="1"/>
    <n v="13.440000000000001"/>
    <n v="1086.18"/>
    <x v="390"/>
  </r>
  <r>
    <s v="PRD-1392"/>
    <x v="1"/>
    <x v="1"/>
    <x v="3"/>
    <n v="11.3"/>
    <n v="17.07"/>
    <n v="76"/>
    <x v="164"/>
    <n v="5"/>
    <n v="7"/>
    <x v="0"/>
    <n v="5.77"/>
    <n v="1211.97"/>
    <x v="391"/>
  </r>
  <r>
    <s v="PRD-1393"/>
    <x v="46"/>
    <x v="7"/>
    <x v="3"/>
    <n v="22.14"/>
    <n v="34.39"/>
    <n v="141"/>
    <x v="214"/>
    <n v="29"/>
    <n v="26"/>
    <x v="1"/>
    <n v="12.25"/>
    <n v="3851.6800000000003"/>
    <x v="392"/>
  </r>
  <r>
    <s v="PRD-1394"/>
    <x v="28"/>
    <x v="7"/>
    <x v="1"/>
    <n v="13.57"/>
    <n v="24.61"/>
    <n v="320"/>
    <x v="215"/>
    <n v="38"/>
    <n v="52"/>
    <x v="0"/>
    <n v="11.04"/>
    <n v="6940.0199999999995"/>
    <x v="393"/>
  </r>
  <r>
    <s v="PRD-1395"/>
    <x v="14"/>
    <x v="1"/>
    <x v="2"/>
    <n v="12.58"/>
    <n v="18.66"/>
    <n v="297"/>
    <x v="3"/>
    <n v="157"/>
    <n v="68"/>
    <x v="1"/>
    <n v="6.08"/>
    <n v="2612.4"/>
    <x v="394"/>
  </r>
  <r>
    <s v="PRD-1396"/>
    <x v="27"/>
    <x v="7"/>
    <x v="1"/>
    <n v="5.47"/>
    <n v="7.98"/>
    <n v="281"/>
    <x v="147"/>
    <n v="69"/>
    <n v="59"/>
    <x v="1"/>
    <n v="2.5100000000000007"/>
    <n v="1691.76"/>
    <x v="395"/>
  </r>
  <r>
    <s v="PRD-1397"/>
    <x v="63"/>
    <x v="2"/>
    <x v="8"/>
    <n v="16.11"/>
    <n v="35.200000000000003"/>
    <n v="446"/>
    <x v="216"/>
    <n v="192"/>
    <n v="62"/>
    <x v="1"/>
    <n v="19.090000000000003"/>
    <n v="8940.8000000000011"/>
    <x v="396"/>
  </r>
  <r>
    <s v="PRD-1398"/>
    <x v="56"/>
    <x v="7"/>
    <x v="6"/>
    <n v="75.33"/>
    <n v="133.86000000000001"/>
    <n v="413"/>
    <x v="217"/>
    <n v="205"/>
    <n v="73"/>
    <x v="1"/>
    <n v="58.530000000000015"/>
    <n v="27842.880000000005"/>
    <x v="397"/>
  </r>
  <r>
    <s v="PRD-1399"/>
    <x v="57"/>
    <x v="6"/>
    <x v="6"/>
    <n v="29.74"/>
    <n v="48.44"/>
    <n v="194"/>
    <x v="218"/>
    <n v="27"/>
    <n v="34"/>
    <x v="0"/>
    <n v="18.7"/>
    <n v="8089.48"/>
    <x v="398"/>
  </r>
  <r>
    <s v="PRD-1400"/>
    <x v="5"/>
    <x v="4"/>
    <x v="6"/>
    <n v="1.89"/>
    <n v="2.83"/>
    <n v="204"/>
    <x v="219"/>
    <n v="136"/>
    <n v="44"/>
    <x v="1"/>
    <n v="0.94000000000000017"/>
    <n v="192.44"/>
    <x v="399"/>
  </r>
  <r>
    <s v="PRD-1401"/>
    <x v="1"/>
    <x v="1"/>
    <x v="8"/>
    <n v="10.95"/>
    <n v="22.77"/>
    <n v="354"/>
    <x v="199"/>
    <n v="193"/>
    <n v="69"/>
    <x v="1"/>
    <n v="11.82"/>
    <n v="3665.97"/>
    <x v="400"/>
  </r>
  <r>
    <s v="PRD-1402"/>
    <x v="67"/>
    <x v="7"/>
    <x v="3"/>
    <n v="60.71"/>
    <n v="93.64"/>
    <n v="121"/>
    <x v="220"/>
    <n v="55"/>
    <n v="25"/>
    <x v="1"/>
    <n v="32.93"/>
    <n v="6180.24"/>
    <x v="401"/>
  </r>
  <r>
    <s v="PRD-1403"/>
    <x v="49"/>
    <x v="6"/>
    <x v="8"/>
    <n v="15.61"/>
    <n v="21.46"/>
    <n v="99"/>
    <x v="79"/>
    <n v="82"/>
    <n v="18"/>
    <x v="1"/>
    <n v="5.8500000000000014"/>
    <n v="364.82"/>
    <x v="402"/>
  </r>
  <r>
    <s v="PRD-1404"/>
    <x v="23"/>
    <x v="0"/>
    <x v="7"/>
    <n v="26.41"/>
    <n v="44.58"/>
    <n v="208"/>
    <x v="73"/>
    <n v="92"/>
    <n v="25"/>
    <x v="1"/>
    <n v="18.169999999999998"/>
    <n v="5171.28"/>
    <x v="403"/>
  </r>
  <r>
    <s v="PRD-1405"/>
    <x v="55"/>
    <x v="1"/>
    <x v="0"/>
    <n v="19.28"/>
    <n v="25.27"/>
    <n v="349"/>
    <x v="221"/>
    <n v="92"/>
    <n v="65"/>
    <x v="1"/>
    <n v="5.9899999999999984"/>
    <n v="6494.39"/>
    <x v="404"/>
  </r>
  <r>
    <s v="PRD-1406"/>
    <x v="28"/>
    <x v="7"/>
    <x v="2"/>
    <n v="46.92"/>
    <n v="82.79"/>
    <n v="110"/>
    <x v="52"/>
    <n v="67"/>
    <n v="11"/>
    <x v="1"/>
    <n v="35.870000000000005"/>
    <n v="3559.9700000000003"/>
    <x v="405"/>
  </r>
  <r>
    <s v="PRD-1407"/>
    <x v="9"/>
    <x v="0"/>
    <x v="5"/>
    <n v="11.61"/>
    <n v="18.79"/>
    <n v="442"/>
    <x v="222"/>
    <n v="78"/>
    <n v="48"/>
    <x v="1"/>
    <n v="7.18"/>
    <n v="6839.5599999999995"/>
    <x v="406"/>
  </r>
  <r>
    <s v="PRD-1408"/>
    <x v="15"/>
    <x v="5"/>
    <x v="0"/>
    <n v="11.05"/>
    <n v="21.3"/>
    <n v="66"/>
    <x v="44"/>
    <n v="28"/>
    <n v="7"/>
    <x v="1"/>
    <n v="10.25"/>
    <n v="809.4"/>
    <x v="407"/>
  </r>
  <r>
    <s v="PRD-1409"/>
    <x v="68"/>
    <x v="5"/>
    <x v="4"/>
    <n v="9.42"/>
    <n v="19.3"/>
    <n v="85"/>
    <x v="38"/>
    <n v="52"/>
    <n v="19"/>
    <x v="1"/>
    <n v="9.8800000000000008"/>
    <n v="636.9"/>
    <x v="408"/>
  </r>
  <r>
    <s v="PRD-1410"/>
    <x v="24"/>
    <x v="5"/>
    <x v="8"/>
    <n v="8.42"/>
    <n v="17.2"/>
    <n v="456"/>
    <x v="203"/>
    <n v="350"/>
    <n v="87"/>
    <x v="1"/>
    <n v="8.7799999999999994"/>
    <n v="1823.1999999999998"/>
    <x v="409"/>
  </r>
  <r>
    <s v="PRD-1411"/>
    <x v="56"/>
    <x v="7"/>
    <x v="4"/>
    <n v="39.76"/>
    <n v="69.66"/>
    <n v="341"/>
    <x v="199"/>
    <n v="180"/>
    <n v="34"/>
    <x v="1"/>
    <n v="29.9"/>
    <n v="11215.26"/>
    <x v="410"/>
  </r>
  <r>
    <s v="PRD-1412"/>
    <x v="65"/>
    <x v="1"/>
    <x v="1"/>
    <n v="3.14"/>
    <n v="6.17"/>
    <n v="395"/>
    <x v="223"/>
    <n v="259"/>
    <n v="68"/>
    <x v="1"/>
    <n v="3.03"/>
    <n v="839.12"/>
    <x v="411"/>
  </r>
  <r>
    <s v="PRD-1413"/>
    <x v="70"/>
    <x v="3"/>
    <x v="1"/>
    <n v="20.28"/>
    <n v="27.56"/>
    <n v="302"/>
    <x v="188"/>
    <n v="157"/>
    <n v="37"/>
    <x v="1"/>
    <n v="7.2799999999999976"/>
    <n v="3996.2"/>
    <x v="412"/>
  </r>
  <r>
    <s v="PRD-1414"/>
    <x v="60"/>
    <x v="1"/>
    <x v="5"/>
    <n v="19.25"/>
    <n v="35.08"/>
    <n v="161"/>
    <x v="27"/>
    <n v="129"/>
    <n v="22"/>
    <x v="1"/>
    <n v="15.829999999999998"/>
    <n v="1122.56"/>
    <x v="413"/>
  </r>
  <r>
    <s v="PRD-1415"/>
    <x v="16"/>
    <x v="0"/>
    <x v="5"/>
    <n v="6.46"/>
    <n v="9.4499999999999993"/>
    <n v="479"/>
    <x v="224"/>
    <n v="194"/>
    <n v="65"/>
    <x v="1"/>
    <n v="2.9899999999999993"/>
    <n v="2693.25"/>
    <x v="414"/>
  </r>
  <r>
    <s v="PRD-1416"/>
    <x v="61"/>
    <x v="0"/>
    <x v="4"/>
    <n v="19.690000000000001"/>
    <n v="27.45"/>
    <n v="263"/>
    <x v="139"/>
    <n v="99"/>
    <n v="42"/>
    <x v="1"/>
    <n v="7.759999999999998"/>
    <n v="4501.8"/>
    <x v="415"/>
  </r>
  <r>
    <s v="PRD-1417"/>
    <x v="26"/>
    <x v="3"/>
    <x v="8"/>
    <n v="12.43"/>
    <n v="24.87"/>
    <n v="429"/>
    <x v="89"/>
    <n v="107"/>
    <n v="106"/>
    <x v="1"/>
    <n v="12.440000000000001"/>
    <n v="8008.14"/>
    <x v="416"/>
  </r>
  <r>
    <s v="PRD-1418"/>
    <x v="40"/>
    <x v="7"/>
    <x v="2"/>
    <n v="21.41"/>
    <n v="46.97"/>
    <n v="35"/>
    <x v="9"/>
    <n v="21"/>
    <n v="3"/>
    <x v="1"/>
    <n v="25.56"/>
    <n v="657.57999999999993"/>
    <x v="417"/>
  </r>
  <r>
    <s v="PRD-1419"/>
    <x v="14"/>
    <x v="1"/>
    <x v="3"/>
    <n v="8.82"/>
    <n v="14.42"/>
    <n v="229"/>
    <x v="186"/>
    <n v="118"/>
    <n v="40"/>
    <x v="1"/>
    <n v="5.6"/>
    <n v="1600.62"/>
    <x v="418"/>
  </r>
  <r>
    <s v="PRD-1420"/>
    <x v="13"/>
    <x v="2"/>
    <x v="4"/>
    <n v="1.71"/>
    <n v="2.48"/>
    <n v="63"/>
    <x v="90"/>
    <n v="36"/>
    <n v="9"/>
    <x v="1"/>
    <n v="0.77"/>
    <n v="66.959999999999994"/>
    <x v="419"/>
  </r>
  <r>
    <s v="PRD-1421"/>
    <x v="61"/>
    <x v="0"/>
    <x v="3"/>
    <n v="7.14"/>
    <n v="11.65"/>
    <n v="21"/>
    <x v="1"/>
    <n v="11"/>
    <n v="4"/>
    <x v="1"/>
    <n v="4.5100000000000007"/>
    <n v="116.5"/>
    <x v="420"/>
  </r>
  <r>
    <s v="PRD-1422"/>
    <x v="75"/>
    <x v="3"/>
    <x v="8"/>
    <n v="23.78"/>
    <n v="33.119999999999997"/>
    <n v="296"/>
    <x v="225"/>
    <n v="19"/>
    <n v="46"/>
    <x v="0"/>
    <n v="9.3399999999999963"/>
    <n v="9174.24"/>
    <x v="421"/>
  </r>
  <r>
    <s v="PRD-1423"/>
    <x v="39"/>
    <x v="4"/>
    <x v="0"/>
    <n v="10.87"/>
    <n v="17.88"/>
    <n v="49"/>
    <x v="38"/>
    <n v="16"/>
    <n v="8"/>
    <x v="1"/>
    <n v="7.01"/>
    <n v="590.04"/>
    <x v="422"/>
  </r>
  <r>
    <s v="PRD-1424"/>
    <x v="39"/>
    <x v="4"/>
    <x v="1"/>
    <n v="3.12"/>
    <n v="4.4400000000000004"/>
    <n v="76"/>
    <x v="94"/>
    <n v="40"/>
    <n v="11"/>
    <x v="1"/>
    <n v="1.3200000000000003"/>
    <n v="159.84"/>
    <x v="423"/>
  </r>
  <r>
    <s v="PRD-1425"/>
    <x v="61"/>
    <x v="0"/>
    <x v="3"/>
    <n v="8.1300000000000008"/>
    <n v="14.63"/>
    <n v="202"/>
    <x v="55"/>
    <n v="165"/>
    <n v="48"/>
    <x v="1"/>
    <n v="6.5"/>
    <n v="541.31000000000006"/>
    <x v="424"/>
  </r>
  <r>
    <s v="PRD-1426"/>
    <x v="60"/>
    <x v="1"/>
    <x v="6"/>
    <n v="16.02"/>
    <n v="32.049999999999997"/>
    <n v="88"/>
    <x v="10"/>
    <n v="5"/>
    <n v="11"/>
    <x v="0"/>
    <n v="16.029999999999998"/>
    <n v="2660.1499999999996"/>
    <x v="425"/>
  </r>
  <r>
    <s v="PRD-1427"/>
    <x v="27"/>
    <x v="7"/>
    <x v="7"/>
    <n v="73.819999999999993"/>
    <n v="152.66"/>
    <n v="48"/>
    <x v="226"/>
    <n v="28"/>
    <n v="8"/>
    <x v="1"/>
    <n v="78.84"/>
    <n v="3053.2"/>
    <x v="426"/>
  </r>
  <r>
    <s v="PRD-1428"/>
    <x v="23"/>
    <x v="0"/>
    <x v="4"/>
    <n v="6.12"/>
    <n v="8.16"/>
    <n v="471"/>
    <x v="216"/>
    <n v="217"/>
    <n v="84"/>
    <x v="1"/>
    <n v="2.04"/>
    <n v="2072.64"/>
    <x v="427"/>
  </r>
  <r>
    <s v="PRD-1429"/>
    <x v="74"/>
    <x v="0"/>
    <x v="4"/>
    <n v="14.15"/>
    <n v="23.4"/>
    <n v="302"/>
    <x v="96"/>
    <n v="70"/>
    <n v="58"/>
    <x v="1"/>
    <n v="9.2499999999999982"/>
    <n v="5428.7999999999993"/>
    <x v="428"/>
  </r>
  <r>
    <s v="PRD-1430"/>
    <x v="11"/>
    <x v="4"/>
    <x v="6"/>
    <n v="7.78"/>
    <n v="15.12"/>
    <n v="365"/>
    <x v="29"/>
    <n v="206"/>
    <n v="76"/>
    <x v="1"/>
    <n v="7.339999999999999"/>
    <n v="2404.08"/>
    <x v="429"/>
  </r>
  <r>
    <s v="PRD-1431"/>
    <x v="58"/>
    <x v="6"/>
    <x v="2"/>
    <n v="17.149999999999999"/>
    <n v="33.82"/>
    <n v="459"/>
    <x v="93"/>
    <n v="399"/>
    <n v="64"/>
    <x v="1"/>
    <n v="16.670000000000002"/>
    <n v="2029.2"/>
    <x v="430"/>
  </r>
  <r>
    <s v="PRD-1432"/>
    <x v="41"/>
    <x v="2"/>
    <x v="2"/>
    <n v="2.44"/>
    <n v="4.78"/>
    <n v="344"/>
    <x v="227"/>
    <n v="216"/>
    <n v="72"/>
    <x v="1"/>
    <n v="2.3400000000000003"/>
    <n v="611.84"/>
    <x v="431"/>
  </r>
  <r>
    <s v="PRD-1433"/>
    <x v="31"/>
    <x v="6"/>
    <x v="9"/>
    <n v="14.63"/>
    <n v="22.44"/>
    <n v="260"/>
    <x v="64"/>
    <n v="230"/>
    <n v="62"/>
    <x v="1"/>
    <n v="7.8100000000000005"/>
    <n v="673.2"/>
    <x v="432"/>
  </r>
  <r>
    <s v="PRD-1434"/>
    <x v="57"/>
    <x v="6"/>
    <x v="2"/>
    <n v="16.77"/>
    <n v="28.37"/>
    <n v="46"/>
    <x v="50"/>
    <n v="37"/>
    <n v="8"/>
    <x v="1"/>
    <n v="11.600000000000001"/>
    <n v="255.33"/>
    <x v="433"/>
  </r>
  <r>
    <s v="PRD-1435"/>
    <x v="23"/>
    <x v="0"/>
    <x v="3"/>
    <n v="29.87"/>
    <n v="48.45"/>
    <n v="205"/>
    <x v="34"/>
    <n v="68"/>
    <n v="48"/>
    <x v="1"/>
    <n v="18.580000000000002"/>
    <n v="6637.6500000000005"/>
    <x v="434"/>
  </r>
  <r>
    <s v="PRD-1436"/>
    <x v="6"/>
    <x v="0"/>
    <x v="9"/>
    <n v="8.6999999999999993"/>
    <n v="18.440000000000001"/>
    <n v="120"/>
    <x v="58"/>
    <n v="55"/>
    <n v="12"/>
    <x v="1"/>
    <n v="9.740000000000002"/>
    <n v="1198.6000000000001"/>
    <x v="435"/>
  </r>
  <r>
    <s v="PRD-1437"/>
    <x v="3"/>
    <x v="3"/>
    <x v="0"/>
    <n v="4.34"/>
    <n v="9.01"/>
    <n v="141"/>
    <x v="194"/>
    <n v="36"/>
    <n v="33"/>
    <x v="1"/>
    <n v="4.67"/>
    <n v="946.05"/>
    <x v="436"/>
  </r>
  <r>
    <s v="PRD-1438"/>
    <x v="47"/>
    <x v="4"/>
    <x v="6"/>
    <n v="4.3600000000000003"/>
    <n v="6.82"/>
    <n v="339"/>
    <x v="77"/>
    <n v="291"/>
    <n v="80"/>
    <x v="1"/>
    <n v="2.46"/>
    <n v="327.36"/>
    <x v="437"/>
  </r>
  <r>
    <s v="PRD-1439"/>
    <x v="1"/>
    <x v="1"/>
    <x v="1"/>
    <n v="17.32"/>
    <n v="27.31"/>
    <n v="254"/>
    <x v="228"/>
    <n v="73"/>
    <n v="49"/>
    <x v="1"/>
    <n v="9.9899999999999984"/>
    <n v="4943.1099999999997"/>
    <x v="438"/>
  </r>
  <r>
    <s v="PRD-1440"/>
    <x v="10"/>
    <x v="5"/>
    <x v="9"/>
    <n v="2.4300000000000002"/>
    <n v="3.35"/>
    <n v="109"/>
    <x v="229"/>
    <n v="29"/>
    <n v="25"/>
    <x v="1"/>
    <n v="0.91999999999999993"/>
    <n v="268"/>
    <x v="439"/>
  </r>
  <r>
    <s v="PRD-1441"/>
    <x v="25"/>
    <x v="5"/>
    <x v="3"/>
    <n v="7.83"/>
    <n v="11.87"/>
    <n v="137"/>
    <x v="58"/>
    <n v="72"/>
    <n v="21"/>
    <x v="1"/>
    <n v="4.0399999999999991"/>
    <n v="771.55"/>
    <x v="440"/>
  </r>
  <r>
    <s v="PRD-1442"/>
    <x v="2"/>
    <x v="2"/>
    <x v="1"/>
    <n v="14.58"/>
    <n v="25.11"/>
    <n v="419"/>
    <x v="61"/>
    <n v="361"/>
    <n v="42"/>
    <x v="1"/>
    <n v="10.53"/>
    <n v="1456.3799999999999"/>
    <x v="441"/>
  </r>
  <r>
    <s v="PRD-1443"/>
    <x v="33"/>
    <x v="6"/>
    <x v="2"/>
    <n v="31.33"/>
    <n v="56.12"/>
    <n v="264"/>
    <x v="107"/>
    <n v="219"/>
    <n v="48"/>
    <x v="1"/>
    <n v="24.79"/>
    <n v="2525.4"/>
    <x v="442"/>
  </r>
  <r>
    <s v="PRD-1444"/>
    <x v="28"/>
    <x v="7"/>
    <x v="9"/>
    <n v="28.47"/>
    <n v="52.56"/>
    <n v="30"/>
    <x v="79"/>
    <n v="13"/>
    <n v="3"/>
    <x v="1"/>
    <n v="24.090000000000003"/>
    <n v="893.52"/>
    <x v="443"/>
  </r>
  <r>
    <s v="PRD-1445"/>
    <x v="36"/>
    <x v="3"/>
    <x v="6"/>
    <n v="24.82"/>
    <n v="49.11"/>
    <n v="91"/>
    <x v="229"/>
    <n v="11"/>
    <n v="12"/>
    <x v="0"/>
    <n v="24.29"/>
    <n v="3928.8"/>
    <x v="444"/>
  </r>
  <r>
    <s v="PRD-1446"/>
    <x v="1"/>
    <x v="1"/>
    <x v="1"/>
    <n v="12.43"/>
    <n v="27.02"/>
    <n v="308"/>
    <x v="230"/>
    <n v="42"/>
    <n v="65"/>
    <x v="0"/>
    <n v="14.59"/>
    <n v="7187.32"/>
    <x v="445"/>
  </r>
  <r>
    <s v="PRD-1447"/>
    <x v="60"/>
    <x v="1"/>
    <x v="6"/>
    <n v="11.83"/>
    <n v="19.12"/>
    <n v="498"/>
    <x v="99"/>
    <n v="402"/>
    <n v="99"/>
    <x v="1"/>
    <n v="7.2900000000000009"/>
    <n v="1835.52"/>
    <x v="446"/>
  </r>
  <r>
    <s v="PRD-1448"/>
    <x v="0"/>
    <x v="0"/>
    <x v="5"/>
    <n v="17.72"/>
    <n v="33.29"/>
    <n v="450"/>
    <x v="196"/>
    <n v="219"/>
    <n v="55"/>
    <x v="1"/>
    <n v="15.57"/>
    <n v="7689.99"/>
    <x v="447"/>
  </r>
  <r>
    <s v="PRD-1449"/>
    <x v="0"/>
    <x v="0"/>
    <x v="2"/>
    <n v="19.86"/>
    <n v="27.54"/>
    <n v="450"/>
    <x v="231"/>
    <n v="202"/>
    <n v="47"/>
    <x v="1"/>
    <n v="7.68"/>
    <n v="6829.92"/>
    <x v="448"/>
  </r>
  <r>
    <s v="PRD-1450"/>
    <x v="25"/>
    <x v="5"/>
    <x v="6"/>
    <n v="14.47"/>
    <n v="27.07"/>
    <n v="397"/>
    <x v="134"/>
    <n v="235"/>
    <n v="60"/>
    <x v="1"/>
    <n v="12.6"/>
    <n v="4385.34"/>
    <x v="449"/>
  </r>
  <r>
    <s v="PRD-1451"/>
    <x v="77"/>
    <x v="7"/>
    <x v="9"/>
    <n v="8.52"/>
    <n v="13.6"/>
    <n v="390"/>
    <x v="181"/>
    <n v="154"/>
    <n v="85"/>
    <x v="1"/>
    <n v="5.08"/>
    <n v="3209.6"/>
    <x v="450"/>
  </r>
  <r>
    <s v="PRD-1452"/>
    <x v="1"/>
    <x v="1"/>
    <x v="5"/>
    <n v="14.22"/>
    <n v="20.98"/>
    <n v="383"/>
    <x v="17"/>
    <n v="342"/>
    <n v="66"/>
    <x v="1"/>
    <n v="6.76"/>
    <n v="860.18000000000006"/>
    <x v="451"/>
  </r>
  <r>
    <s v="PRD-1453"/>
    <x v="48"/>
    <x v="5"/>
    <x v="2"/>
    <n v="2.84"/>
    <n v="4.43"/>
    <n v="350"/>
    <x v="232"/>
    <n v="300"/>
    <n v="56"/>
    <x v="1"/>
    <n v="1.5899999999999999"/>
    <n v="221.5"/>
    <x v="452"/>
  </r>
  <r>
    <s v="PRD-1454"/>
    <x v="28"/>
    <x v="7"/>
    <x v="4"/>
    <n v="29.31"/>
    <n v="41.41"/>
    <n v="484"/>
    <x v="35"/>
    <n v="376"/>
    <n v="77"/>
    <x v="1"/>
    <n v="12.099999999999998"/>
    <n v="4472.28"/>
    <x v="453"/>
  </r>
  <r>
    <s v="PRD-1455"/>
    <x v="67"/>
    <x v="7"/>
    <x v="9"/>
    <n v="16.47"/>
    <n v="27.56"/>
    <n v="459"/>
    <x v="233"/>
    <n v="101"/>
    <n v="96"/>
    <x v="1"/>
    <n v="11.09"/>
    <n v="9866.48"/>
    <x v="454"/>
  </r>
  <r>
    <s v="PRD-1456"/>
    <x v="8"/>
    <x v="2"/>
    <x v="6"/>
    <n v="18.86"/>
    <n v="26.08"/>
    <n v="169"/>
    <x v="99"/>
    <n v="73"/>
    <n v="22"/>
    <x v="1"/>
    <n v="7.2199999999999989"/>
    <n v="2503.6799999999998"/>
    <x v="455"/>
  </r>
  <r>
    <s v="PRD-1457"/>
    <x v="65"/>
    <x v="1"/>
    <x v="5"/>
    <n v="18.489999999999998"/>
    <n v="35.29"/>
    <n v="494"/>
    <x v="234"/>
    <n v="145"/>
    <n v="107"/>
    <x v="1"/>
    <n v="16.8"/>
    <n v="12316.21"/>
    <x v="456"/>
  </r>
  <r>
    <s v="PRD-1458"/>
    <x v="28"/>
    <x v="7"/>
    <x v="6"/>
    <n v="46.68"/>
    <n v="100.02"/>
    <n v="252"/>
    <x v="235"/>
    <n v="35"/>
    <n v="58"/>
    <x v="0"/>
    <n v="53.339999999999996"/>
    <n v="21704.34"/>
    <x v="457"/>
  </r>
  <r>
    <s v="PRD-1459"/>
    <x v="31"/>
    <x v="6"/>
    <x v="3"/>
    <n v="13.57"/>
    <n v="28.26"/>
    <n v="391"/>
    <x v="21"/>
    <n v="208"/>
    <n v="46"/>
    <x v="1"/>
    <n v="14.690000000000001"/>
    <n v="5171.58"/>
    <x v="458"/>
  </r>
  <r>
    <s v="PRD-1460"/>
    <x v="35"/>
    <x v="4"/>
    <x v="1"/>
    <n v="10.44"/>
    <n v="22.88"/>
    <n v="38"/>
    <x v="226"/>
    <n v="18"/>
    <n v="8"/>
    <x v="1"/>
    <n v="12.44"/>
    <n v="457.59999999999997"/>
    <x v="459"/>
  </r>
  <r>
    <s v="PRD-1461"/>
    <x v="48"/>
    <x v="5"/>
    <x v="9"/>
    <n v="13.76"/>
    <n v="29.51"/>
    <n v="273"/>
    <x v="236"/>
    <n v="199"/>
    <n v="48"/>
    <x v="1"/>
    <n v="15.750000000000002"/>
    <n v="2183.7400000000002"/>
    <x v="460"/>
  </r>
  <r>
    <s v="PRD-1462"/>
    <x v="5"/>
    <x v="4"/>
    <x v="7"/>
    <n v="7.73"/>
    <n v="12.75"/>
    <n v="236"/>
    <x v="164"/>
    <n v="165"/>
    <n v="29"/>
    <x v="1"/>
    <n v="5.0199999999999996"/>
    <n v="905.25"/>
    <x v="461"/>
  </r>
  <r>
    <s v="PRD-1463"/>
    <x v="53"/>
    <x v="7"/>
    <x v="2"/>
    <n v="44.74"/>
    <n v="69.59"/>
    <n v="480"/>
    <x v="237"/>
    <n v="165"/>
    <n v="83"/>
    <x v="1"/>
    <n v="24.85"/>
    <n v="21920.850000000002"/>
    <x v="462"/>
  </r>
  <r>
    <s v="PRD-1464"/>
    <x v="51"/>
    <x v="5"/>
    <x v="1"/>
    <n v="5.3"/>
    <n v="8.69"/>
    <n v="106"/>
    <x v="64"/>
    <n v="76"/>
    <n v="25"/>
    <x v="1"/>
    <n v="3.3899999999999997"/>
    <n v="260.7"/>
    <x v="463"/>
  </r>
  <r>
    <s v="PRD-1465"/>
    <x v="62"/>
    <x v="7"/>
    <x v="7"/>
    <n v="63.35"/>
    <n v="86.82"/>
    <n v="164"/>
    <x v="238"/>
    <n v="57"/>
    <n v="37"/>
    <x v="1"/>
    <n v="23.469999999999992"/>
    <n v="9289.74"/>
    <x v="464"/>
  </r>
  <r>
    <s v="PRD-1466"/>
    <x v="16"/>
    <x v="0"/>
    <x v="7"/>
    <n v="18.489999999999998"/>
    <n v="34.520000000000003"/>
    <n v="374"/>
    <x v="157"/>
    <n v="107"/>
    <n v="40"/>
    <x v="1"/>
    <n v="16.030000000000005"/>
    <n v="9216.84"/>
    <x v="465"/>
  </r>
  <r>
    <s v="PRD-1467"/>
    <x v="63"/>
    <x v="2"/>
    <x v="4"/>
    <n v="15.05"/>
    <n v="27.38"/>
    <n v="190"/>
    <x v="27"/>
    <n v="158"/>
    <n v="27"/>
    <x v="1"/>
    <n v="12.329999999999998"/>
    <n v="876.16"/>
    <x v="466"/>
  </r>
  <r>
    <s v="PRD-1468"/>
    <x v="41"/>
    <x v="2"/>
    <x v="6"/>
    <n v="15.26"/>
    <n v="27.56"/>
    <n v="377"/>
    <x v="239"/>
    <n v="33"/>
    <n v="39"/>
    <x v="0"/>
    <n v="12.299999999999999"/>
    <n v="9480.64"/>
    <x v="467"/>
  </r>
  <r>
    <s v="PRD-1469"/>
    <x v="15"/>
    <x v="5"/>
    <x v="0"/>
    <n v="12.22"/>
    <n v="20.61"/>
    <n v="294"/>
    <x v="240"/>
    <n v="100"/>
    <n v="69"/>
    <x v="1"/>
    <n v="8.3899999999999988"/>
    <n v="3998.3399999999997"/>
    <x v="468"/>
  </r>
  <r>
    <s v="PRD-1470"/>
    <x v="66"/>
    <x v="3"/>
    <x v="0"/>
    <n v="19.260000000000002"/>
    <n v="36.1"/>
    <n v="494"/>
    <x v="241"/>
    <n v="78"/>
    <n v="99"/>
    <x v="0"/>
    <n v="16.84"/>
    <n v="15017.6"/>
    <x v="469"/>
  </r>
  <r>
    <s v="PRD-1471"/>
    <x v="35"/>
    <x v="4"/>
    <x v="0"/>
    <n v="9.69"/>
    <n v="21.27"/>
    <n v="69"/>
    <x v="5"/>
    <n v="17"/>
    <n v="15"/>
    <x v="1"/>
    <n v="11.58"/>
    <n v="1106.04"/>
    <x v="470"/>
  </r>
  <r>
    <s v="PRD-1472"/>
    <x v="17"/>
    <x v="1"/>
    <x v="5"/>
    <n v="5.2"/>
    <n v="9.98"/>
    <n v="261"/>
    <x v="40"/>
    <n v="18"/>
    <n v="48"/>
    <x v="0"/>
    <n v="4.78"/>
    <n v="2425.1400000000003"/>
    <x v="471"/>
  </r>
  <r>
    <s v="PRD-1473"/>
    <x v="60"/>
    <x v="1"/>
    <x v="8"/>
    <n v="18.260000000000002"/>
    <n v="34.450000000000003"/>
    <n v="436"/>
    <x v="242"/>
    <n v="292"/>
    <n v="88"/>
    <x v="1"/>
    <n v="16.190000000000001"/>
    <n v="4960.8"/>
    <x v="472"/>
  </r>
  <r>
    <s v="PRD-1474"/>
    <x v="25"/>
    <x v="5"/>
    <x v="6"/>
    <n v="7.61"/>
    <n v="11.4"/>
    <n v="312"/>
    <x v="236"/>
    <n v="238"/>
    <n v="59"/>
    <x v="1"/>
    <n v="3.79"/>
    <n v="843.6"/>
    <x v="473"/>
  </r>
  <r>
    <s v="PRD-1475"/>
    <x v="70"/>
    <x v="3"/>
    <x v="0"/>
    <n v="5.35"/>
    <n v="7.5"/>
    <n v="314"/>
    <x v="26"/>
    <n v="212"/>
    <n v="45"/>
    <x v="1"/>
    <n v="2.1500000000000004"/>
    <n v="765"/>
    <x v="474"/>
  </r>
  <r>
    <s v="PRD-1476"/>
    <x v="36"/>
    <x v="3"/>
    <x v="2"/>
    <n v="23.3"/>
    <n v="45.52"/>
    <n v="498"/>
    <x v="216"/>
    <n v="244"/>
    <n v="93"/>
    <x v="1"/>
    <n v="22.220000000000002"/>
    <n v="11562.08"/>
    <x v="475"/>
  </r>
  <r>
    <s v="PRD-1477"/>
    <x v="39"/>
    <x v="4"/>
    <x v="8"/>
    <n v="8.1199999999999992"/>
    <n v="15.92"/>
    <n v="490"/>
    <x v="243"/>
    <n v="34"/>
    <n v="56"/>
    <x v="0"/>
    <n v="7.8000000000000007"/>
    <n v="7259.5199999999995"/>
    <x v="476"/>
  </r>
  <r>
    <s v="PRD-1478"/>
    <x v="61"/>
    <x v="0"/>
    <x v="8"/>
    <n v="11.61"/>
    <n v="15.16"/>
    <n v="391"/>
    <x v="17"/>
    <n v="350"/>
    <n v="84"/>
    <x v="1"/>
    <n v="3.5500000000000007"/>
    <n v="621.56000000000006"/>
    <x v="477"/>
  </r>
  <r>
    <s v="PRD-1479"/>
    <x v="71"/>
    <x v="0"/>
    <x v="8"/>
    <n v="10"/>
    <n v="20.5"/>
    <n v="289"/>
    <x v="153"/>
    <n v="132"/>
    <n v="64"/>
    <x v="1"/>
    <n v="10.5"/>
    <n v="3218.5"/>
    <x v="478"/>
  </r>
  <r>
    <s v="PRD-1480"/>
    <x v="69"/>
    <x v="4"/>
    <x v="3"/>
    <n v="7.2"/>
    <n v="12.42"/>
    <n v="275"/>
    <x v="170"/>
    <n v="105"/>
    <n v="46"/>
    <x v="1"/>
    <n v="5.22"/>
    <n v="2111.4"/>
    <x v="479"/>
  </r>
  <r>
    <s v="PRD-1481"/>
    <x v="25"/>
    <x v="5"/>
    <x v="1"/>
    <n v="3.77"/>
    <n v="8.2799999999999994"/>
    <n v="484"/>
    <x v="82"/>
    <n v="133"/>
    <n v="118"/>
    <x v="1"/>
    <n v="4.51"/>
    <n v="2906.2799999999997"/>
    <x v="480"/>
  </r>
  <r>
    <s v="PRD-1482"/>
    <x v="77"/>
    <x v="7"/>
    <x v="9"/>
    <n v="78.73"/>
    <n v="134.97"/>
    <n v="219"/>
    <x v="172"/>
    <n v="50"/>
    <n v="38"/>
    <x v="1"/>
    <n v="56.239999999999995"/>
    <n v="22809.93"/>
    <x v="481"/>
  </r>
  <r>
    <s v="PRD-1483"/>
    <x v="27"/>
    <x v="7"/>
    <x v="4"/>
    <n v="40.15"/>
    <n v="66.22"/>
    <n v="447"/>
    <x v="244"/>
    <n v="32"/>
    <n v="72"/>
    <x v="0"/>
    <n v="26.07"/>
    <n v="27481.3"/>
    <x v="482"/>
  </r>
  <r>
    <s v="PRD-1484"/>
    <x v="36"/>
    <x v="3"/>
    <x v="3"/>
    <n v="4.9800000000000004"/>
    <n v="8.94"/>
    <n v="104"/>
    <x v="5"/>
    <n v="52"/>
    <n v="25"/>
    <x v="1"/>
    <n v="3.9599999999999991"/>
    <n v="464.88"/>
    <x v="483"/>
  </r>
  <r>
    <s v="PRD-1485"/>
    <x v="68"/>
    <x v="5"/>
    <x v="1"/>
    <n v="7.57"/>
    <n v="10.37"/>
    <n v="95"/>
    <x v="108"/>
    <n v="10"/>
    <n v="23"/>
    <x v="0"/>
    <n v="2.7999999999999989"/>
    <n v="881.44999999999993"/>
    <x v="484"/>
  </r>
  <r>
    <s v="PRD-1486"/>
    <x v="32"/>
    <x v="4"/>
    <x v="2"/>
    <n v="3.5"/>
    <n v="7.3"/>
    <n v="134"/>
    <x v="35"/>
    <n v="26"/>
    <n v="24"/>
    <x v="1"/>
    <n v="3.8"/>
    <n v="788.4"/>
    <x v="485"/>
  </r>
  <r>
    <s v="PRD-1487"/>
    <x v="62"/>
    <x v="7"/>
    <x v="1"/>
    <n v="52.95"/>
    <n v="84.84"/>
    <n v="407"/>
    <x v="122"/>
    <n v="193"/>
    <n v="97"/>
    <x v="1"/>
    <n v="31.89"/>
    <n v="18155.760000000002"/>
    <x v="486"/>
  </r>
  <r>
    <s v="PRD-1488"/>
    <x v="0"/>
    <x v="0"/>
    <x v="3"/>
    <n v="23.25"/>
    <n v="38.950000000000003"/>
    <n v="387"/>
    <x v="245"/>
    <n v="308"/>
    <n v="55"/>
    <x v="1"/>
    <n v="15.700000000000003"/>
    <n v="3077.05"/>
    <x v="487"/>
  </r>
  <r>
    <s v="PRD-1489"/>
    <x v="34"/>
    <x v="4"/>
    <x v="6"/>
    <n v="11.07"/>
    <n v="23.92"/>
    <n v="86"/>
    <x v="71"/>
    <n v="44"/>
    <n v="17"/>
    <x v="1"/>
    <n v="12.850000000000001"/>
    <n v="1004.6400000000001"/>
    <x v="488"/>
  </r>
  <r>
    <s v="PRD-1490"/>
    <x v="40"/>
    <x v="7"/>
    <x v="1"/>
    <n v="5.33"/>
    <n v="8.64"/>
    <n v="363"/>
    <x v="170"/>
    <n v="193"/>
    <n v="37"/>
    <x v="1"/>
    <n v="3.3100000000000005"/>
    <n v="1468.8000000000002"/>
    <x v="489"/>
  </r>
  <r>
    <s v="PRD-1491"/>
    <x v="71"/>
    <x v="0"/>
    <x v="1"/>
    <n v="11.48"/>
    <n v="20.76"/>
    <n v="396"/>
    <x v="144"/>
    <n v="210"/>
    <n v="48"/>
    <x v="1"/>
    <n v="9.2800000000000011"/>
    <n v="3861.36"/>
    <x v="490"/>
  </r>
  <r>
    <s v="PRD-1492"/>
    <x v="21"/>
    <x v="2"/>
    <x v="9"/>
    <n v="18.489999999999998"/>
    <n v="29.9"/>
    <n v="454"/>
    <x v="98"/>
    <n v="190"/>
    <n v="112"/>
    <x v="1"/>
    <n v="11.41"/>
    <n v="7893.5999999999995"/>
    <x v="491"/>
  </r>
  <r>
    <s v="PRD-1493"/>
    <x v="58"/>
    <x v="6"/>
    <x v="6"/>
    <n v="23.67"/>
    <n v="50.63"/>
    <n v="387"/>
    <x v="43"/>
    <n v="149"/>
    <n v="69"/>
    <x v="1"/>
    <n v="26.96"/>
    <n v="12049.94"/>
    <x v="492"/>
  </r>
  <r>
    <s v="PRD-1494"/>
    <x v="31"/>
    <x v="6"/>
    <x v="5"/>
    <n v="19.18"/>
    <n v="39.85"/>
    <n v="57"/>
    <x v="107"/>
    <n v="12"/>
    <n v="9"/>
    <x v="1"/>
    <n v="20.67"/>
    <n v="1793.25"/>
    <x v="493"/>
  </r>
  <r>
    <s v="PRD-1495"/>
    <x v="40"/>
    <x v="7"/>
    <x v="0"/>
    <n v="60.48"/>
    <n v="94.34"/>
    <n v="288"/>
    <x v="218"/>
    <n v="121"/>
    <n v="60"/>
    <x v="1"/>
    <n v="33.860000000000007"/>
    <n v="15754.78"/>
    <x v="494"/>
  </r>
  <r>
    <s v="PRD-1496"/>
    <x v="38"/>
    <x v="2"/>
    <x v="2"/>
    <n v="11.94"/>
    <n v="20.54"/>
    <n v="480"/>
    <x v="222"/>
    <n v="116"/>
    <n v="119"/>
    <x v="0"/>
    <n v="8.6"/>
    <n v="7476.5599999999995"/>
    <x v="495"/>
  </r>
  <r>
    <s v="PRD-1497"/>
    <x v="52"/>
    <x v="1"/>
    <x v="6"/>
    <n v="8.77"/>
    <n v="16.41"/>
    <n v="96"/>
    <x v="226"/>
    <n v="76"/>
    <n v="23"/>
    <x v="1"/>
    <n v="7.6400000000000006"/>
    <n v="328.2"/>
    <x v="496"/>
  </r>
  <r>
    <s v="PRD-1498"/>
    <x v="70"/>
    <x v="3"/>
    <x v="4"/>
    <n v="21.38"/>
    <n v="30.98"/>
    <n v="176"/>
    <x v="71"/>
    <n v="134"/>
    <n v="32"/>
    <x v="1"/>
    <n v="9.6000000000000014"/>
    <n v="1301.1600000000001"/>
    <x v="497"/>
  </r>
  <r>
    <s v="PRD-1499"/>
    <x v="48"/>
    <x v="5"/>
    <x v="2"/>
    <n v="10.76"/>
    <n v="14.5"/>
    <n v="85"/>
    <x v="136"/>
    <n v="67"/>
    <n v="11"/>
    <x v="1"/>
    <n v="3.74"/>
    <n v="261"/>
    <x v="498"/>
  </r>
  <r>
    <s v="PRD-1500"/>
    <x v="57"/>
    <x v="6"/>
    <x v="7"/>
    <n v="19.440000000000001"/>
    <n v="37.51"/>
    <n v="49"/>
    <x v="27"/>
    <n v="17"/>
    <n v="9"/>
    <x v="1"/>
    <n v="18.069999999999997"/>
    <n v="1200.32"/>
    <x v="499"/>
  </r>
  <r>
    <s v="PRD-1501"/>
    <x v="67"/>
    <x v="7"/>
    <x v="4"/>
    <n v="52.59"/>
    <n v="69.39"/>
    <n v="359"/>
    <x v="246"/>
    <n v="246"/>
    <n v="44"/>
    <x v="1"/>
    <n v="16.799999999999997"/>
    <n v="7841.07"/>
    <x v="500"/>
  </r>
  <r>
    <s v="PRD-1502"/>
    <x v="44"/>
    <x v="1"/>
    <x v="5"/>
    <n v="9.8800000000000008"/>
    <n v="20.52"/>
    <n v="128"/>
    <x v="70"/>
    <n v="46"/>
    <n v="29"/>
    <x v="1"/>
    <n v="10.639999999999999"/>
    <n v="1682.6399999999999"/>
    <x v="501"/>
  </r>
  <r>
    <s v="PRD-1503"/>
    <x v="48"/>
    <x v="5"/>
    <x v="0"/>
    <n v="10.61"/>
    <n v="20.74"/>
    <n v="397"/>
    <x v="247"/>
    <n v="79"/>
    <n v="48"/>
    <x v="1"/>
    <n v="10.129999999999999"/>
    <n v="6595.32"/>
    <x v="502"/>
  </r>
  <r>
    <s v="PRD-1504"/>
    <x v="0"/>
    <x v="0"/>
    <x v="7"/>
    <n v="17.5"/>
    <n v="35.590000000000003"/>
    <n v="72"/>
    <x v="248"/>
    <n v="60"/>
    <n v="14"/>
    <x v="1"/>
    <n v="18.090000000000003"/>
    <n v="427.08000000000004"/>
    <x v="503"/>
  </r>
  <r>
    <s v="PRD-1505"/>
    <x v="27"/>
    <x v="7"/>
    <x v="4"/>
    <n v="32.74"/>
    <n v="53.72"/>
    <n v="49"/>
    <x v="154"/>
    <n v="18"/>
    <n v="7"/>
    <x v="1"/>
    <n v="20.979999999999997"/>
    <n v="1665.32"/>
    <x v="504"/>
  </r>
  <r>
    <s v="PRD-1506"/>
    <x v="49"/>
    <x v="6"/>
    <x v="0"/>
    <n v="31.35"/>
    <n v="51.74"/>
    <n v="167"/>
    <x v="104"/>
    <n v="105"/>
    <n v="40"/>
    <x v="1"/>
    <n v="20.39"/>
    <n v="3207.88"/>
    <x v="505"/>
  </r>
  <r>
    <s v="PRD-1507"/>
    <x v="22"/>
    <x v="3"/>
    <x v="0"/>
    <n v="21.14"/>
    <n v="37.26"/>
    <n v="41"/>
    <x v="154"/>
    <n v="10"/>
    <n v="8"/>
    <x v="1"/>
    <n v="16.119999999999997"/>
    <n v="1155.06"/>
    <x v="506"/>
  </r>
  <r>
    <s v="PRD-1508"/>
    <x v="68"/>
    <x v="5"/>
    <x v="7"/>
    <n v="7.19"/>
    <n v="11.99"/>
    <n v="389"/>
    <x v="174"/>
    <n v="62"/>
    <n v="54"/>
    <x v="1"/>
    <n v="4.8"/>
    <n v="3920.73"/>
    <x v="507"/>
  </r>
  <r>
    <s v="PRD-1509"/>
    <x v="3"/>
    <x v="3"/>
    <x v="9"/>
    <n v="9.41"/>
    <n v="14.94"/>
    <n v="87"/>
    <x v="127"/>
    <n v="47"/>
    <n v="13"/>
    <x v="1"/>
    <n v="5.5299999999999994"/>
    <n v="597.6"/>
    <x v="508"/>
  </r>
  <r>
    <s v="PRD-1510"/>
    <x v="5"/>
    <x v="4"/>
    <x v="3"/>
    <n v="9.2200000000000006"/>
    <n v="11.99"/>
    <n v="438"/>
    <x v="3"/>
    <n v="298"/>
    <n v="99"/>
    <x v="1"/>
    <n v="2.7699999999999996"/>
    <n v="1678.6000000000001"/>
    <x v="509"/>
  </r>
  <r>
    <s v="PRD-1511"/>
    <x v="24"/>
    <x v="5"/>
    <x v="9"/>
    <n v="13.11"/>
    <n v="28.13"/>
    <n v="360"/>
    <x v="196"/>
    <n v="129"/>
    <n v="51"/>
    <x v="1"/>
    <n v="15.02"/>
    <n v="6498.03"/>
    <x v="510"/>
  </r>
  <r>
    <s v="PRD-1512"/>
    <x v="59"/>
    <x v="0"/>
    <x v="3"/>
    <n v="7.65"/>
    <n v="16.16"/>
    <n v="246"/>
    <x v="249"/>
    <n v="53"/>
    <n v="56"/>
    <x v="0"/>
    <n v="8.51"/>
    <n v="3118.88"/>
    <x v="511"/>
  </r>
  <r>
    <s v="PRD-1513"/>
    <x v="64"/>
    <x v="2"/>
    <x v="2"/>
    <n v="19.690000000000001"/>
    <n v="39.54"/>
    <n v="81"/>
    <x v="75"/>
    <n v="60"/>
    <n v="12"/>
    <x v="1"/>
    <n v="19.849999999999998"/>
    <n v="830.34"/>
    <x v="512"/>
  </r>
  <r>
    <s v="PRD-1514"/>
    <x v="74"/>
    <x v="0"/>
    <x v="0"/>
    <n v="26.12"/>
    <n v="52.38"/>
    <n v="488"/>
    <x v="250"/>
    <n v="249"/>
    <n v="53"/>
    <x v="1"/>
    <n v="26.26"/>
    <n v="12518.82"/>
    <x v="513"/>
  </r>
  <r>
    <s v="PRD-1515"/>
    <x v="43"/>
    <x v="7"/>
    <x v="3"/>
    <n v="18.88"/>
    <n v="39.15"/>
    <n v="428"/>
    <x v="133"/>
    <n v="238"/>
    <n v="100"/>
    <x v="1"/>
    <n v="20.27"/>
    <n v="7438.5"/>
    <x v="514"/>
  </r>
  <r>
    <s v="PRD-1516"/>
    <x v="5"/>
    <x v="4"/>
    <x v="3"/>
    <n v="10.84"/>
    <n v="19.440000000000001"/>
    <n v="215"/>
    <x v="178"/>
    <n v="83"/>
    <n v="33"/>
    <x v="1"/>
    <n v="8.6000000000000014"/>
    <n v="2566.0800000000004"/>
    <x v="515"/>
  </r>
  <r>
    <s v="PRD-1517"/>
    <x v="22"/>
    <x v="3"/>
    <x v="1"/>
    <n v="18.649999999999999"/>
    <n v="25.09"/>
    <n v="247"/>
    <x v="251"/>
    <n v="25"/>
    <n v="26"/>
    <x v="0"/>
    <n v="6.4400000000000013"/>
    <n v="5569.98"/>
    <x v="516"/>
  </r>
  <r>
    <s v="PRD-1518"/>
    <x v="66"/>
    <x v="3"/>
    <x v="3"/>
    <n v="5.81"/>
    <n v="10.97"/>
    <n v="237"/>
    <x v="252"/>
    <n v="37"/>
    <n v="39"/>
    <x v="0"/>
    <n v="5.160000000000001"/>
    <n v="2194"/>
    <x v="517"/>
  </r>
  <r>
    <s v="PRD-1519"/>
    <x v="43"/>
    <x v="7"/>
    <x v="4"/>
    <n v="70.83"/>
    <n v="121.38"/>
    <n v="403"/>
    <x v="159"/>
    <n v="156"/>
    <n v="74"/>
    <x v="1"/>
    <n v="50.55"/>
    <n v="29980.86"/>
    <x v="518"/>
  </r>
  <r>
    <s v="PRD-1520"/>
    <x v="50"/>
    <x v="3"/>
    <x v="1"/>
    <n v="20.399999999999999"/>
    <n v="34.29"/>
    <n v="280"/>
    <x v="253"/>
    <n v="24"/>
    <n v="33"/>
    <x v="0"/>
    <n v="13.89"/>
    <n v="8778.24"/>
    <x v="519"/>
  </r>
  <r>
    <s v="PRD-1521"/>
    <x v="79"/>
    <x v="4"/>
    <x v="1"/>
    <n v="9.43"/>
    <n v="18.27"/>
    <n v="448"/>
    <x v="12"/>
    <n v="338"/>
    <n v="54"/>
    <x v="1"/>
    <n v="8.84"/>
    <n v="2009.7"/>
    <x v="520"/>
  </r>
  <r>
    <s v="PRD-1522"/>
    <x v="24"/>
    <x v="5"/>
    <x v="5"/>
    <n v="11.25"/>
    <n v="18.21"/>
    <n v="450"/>
    <x v="204"/>
    <n v="246"/>
    <n v="57"/>
    <x v="1"/>
    <n v="6.9600000000000009"/>
    <n v="3714.84"/>
    <x v="521"/>
  </r>
  <r>
    <s v="PRD-1523"/>
    <x v="52"/>
    <x v="1"/>
    <x v="1"/>
    <n v="11.87"/>
    <n v="18.11"/>
    <n v="92"/>
    <x v="254"/>
    <n v="68"/>
    <n v="11"/>
    <x v="1"/>
    <n v="6.24"/>
    <n v="434.64"/>
    <x v="522"/>
  </r>
  <r>
    <s v="PRD-1524"/>
    <x v="79"/>
    <x v="4"/>
    <x v="9"/>
    <n v="4.5199999999999996"/>
    <n v="7.64"/>
    <n v="308"/>
    <x v="255"/>
    <n v="148"/>
    <n v="66"/>
    <x v="1"/>
    <n v="3.12"/>
    <n v="1222.3999999999999"/>
    <x v="523"/>
  </r>
  <r>
    <s v="PRD-1525"/>
    <x v="66"/>
    <x v="3"/>
    <x v="9"/>
    <n v="5.57"/>
    <n v="10.69"/>
    <n v="195"/>
    <x v="83"/>
    <n v="41"/>
    <n v="26"/>
    <x v="1"/>
    <n v="5.1199999999999992"/>
    <n v="1646.26"/>
    <x v="524"/>
  </r>
  <r>
    <s v="PRD-1526"/>
    <x v="53"/>
    <x v="7"/>
    <x v="1"/>
    <n v="65.430000000000007"/>
    <n v="111.82"/>
    <n v="337"/>
    <x v="165"/>
    <n v="34"/>
    <n v="82"/>
    <x v="0"/>
    <n v="46.389999999999986"/>
    <n v="33881.46"/>
    <x v="525"/>
  </r>
  <r>
    <s v="PRD-1527"/>
    <x v="64"/>
    <x v="2"/>
    <x v="2"/>
    <n v="15.4"/>
    <n v="21.05"/>
    <n v="391"/>
    <x v="256"/>
    <n v="158"/>
    <n v="72"/>
    <x v="1"/>
    <n v="5.65"/>
    <n v="4904.6500000000005"/>
    <x v="526"/>
  </r>
  <r>
    <s v="PRD-1528"/>
    <x v="63"/>
    <x v="2"/>
    <x v="1"/>
    <n v="24.93"/>
    <n v="39.53"/>
    <n v="55"/>
    <x v="52"/>
    <n v="12"/>
    <n v="8"/>
    <x v="1"/>
    <n v="14.600000000000001"/>
    <n v="1699.79"/>
    <x v="527"/>
  </r>
  <r>
    <s v="PRD-1529"/>
    <x v="10"/>
    <x v="5"/>
    <x v="7"/>
    <n v="11.82"/>
    <n v="17.93"/>
    <n v="85"/>
    <x v="90"/>
    <n v="58"/>
    <n v="18"/>
    <x v="1"/>
    <n v="6.1099999999999994"/>
    <n v="484.11"/>
    <x v="528"/>
  </r>
  <r>
    <s v="PRD-1530"/>
    <x v="1"/>
    <x v="1"/>
    <x v="5"/>
    <n v="14.97"/>
    <n v="24.24"/>
    <n v="441"/>
    <x v="13"/>
    <n v="298"/>
    <n v="96"/>
    <x v="1"/>
    <n v="9.2699999999999978"/>
    <n v="3466.3199999999997"/>
    <x v="529"/>
  </r>
  <r>
    <s v="PRD-1531"/>
    <x v="20"/>
    <x v="3"/>
    <x v="6"/>
    <n v="23.25"/>
    <n v="32.29"/>
    <n v="400"/>
    <x v="257"/>
    <n v="142"/>
    <n v="63"/>
    <x v="1"/>
    <n v="9.0399999999999991"/>
    <n v="8330.82"/>
    <x v="530"/>
  </r>
  <r>
    <s v="PRD-1532"/>
    <x v="79"/>
    <x v="4"/>
    <x v="3"/>
    <n v="6.65"/>
    <n v="12.45"/>
    <n v="127"/>
    <x v="8"/>
    <n v="68"/>
    <n v="21"/>
    <x v="1"/>
    <n v="5.7999999999999989"/>
    <n v="734.55"/>
    <x v="531"/>
  </r>
  <r>
    <s v="PRD-1533"/>
    <x v="79"/>
    <x v="4"/>
    <x v="9"/>
    <n v="2.89"/>
    <n v="6.24"/>
    <n v="365"/>
    <x v="41"/>
    <n v="219"/>
    <n v="49"/>
    <x v="1"/>
    <n v="3.35"/>
    <n v="911.04000000000008"/>
    <x v="532"/>
  </r>
  <r>
    <s v="PRD-1534"/>
    <x v="76"/>
    <x v="5"/>
    <x v="6"/>
    <n v="0.77"/>
    <n v="1.2"/>
    <n v="228"/>
    <x v="5"/>
    <n v="176"/>
    <n v="24"/>
    <x v="1"/>
    <n v="0.42999999999999994"/>
    <n v="62.4"/>
    <x v="533"/>
  </r>
  <r>
    <s v="PRD-1535"/>
    <x v="23"/>
    <x v="0"/>
    <x v="5"/>
    <n v="6.05"/>
    <n v="12.33"/>
    <n v="309"/>
    <x v="258"/>
    <n v="99"/>
    <n v="40"/>
    <x v="1"/>
    <n v="6.28"/>
    <n v="2589.3000000000002"/>
    <x v="534"/>
  </r>
  <r>
    <s v="PRD-1536"/>
    <x v="13"/>
    <x v="2"/>
    <x v="5"/>
    <n v="17.64"/>
    <n v="35.299999999999997"/>
    <n v="53"/>
    <x v="52"/>
    <n v="10"/>
    <n v="12"/>
    <x v="0"/>
    <n v="17.659999999999997"/>
    <n v="1517.8999999999999"/>
    <x v="535"/>
  </r>
  <r>
    <s v="PRD-1537"/>
    <x v="51"/>
    <x v="5"/>
    <x v="5"/>
    <n v="7.77"/>
    <n v="15.23"/>
    <n v="447"/>
    <x v="259"/>
    <n v="256"/>
    <n v="97"/>
    <x v="1"/>
    <n v="7.4600000000000009"/>
    <n v="2908.9300000000003"/>
    <x v="536"/>
  </r>
  <r>
    <s v="PRD-1538"/>
    <x v="28"/>
    <x v="7"/>
    <x v="0"/>
    <n v="26.41"/>
    <n v="41.24"/>
    <n v="493"/>
    <x v="260"/>
    <n v="306"/>
    <n v="92"/>
    <x v="1"/>
    <n v="14.830000000000002"/>
    <n v="7711.88"/>
    <x v="537"/>
  </r>
  <r>
    <s v="PRD-1539"/>
    <x v="18"/>
    <x v="1"/>
    <x v="7"/>
    <n v="10.57"/>
    <n v="14.35"/>
    <n v="435"/>
    <x v="251"/>
    <n v="213"/>
    <n v="77"/>
    <x v="1"/>
    <n v="3.7799999999999994"/>
    <n v="3185.7"/>
    <x v="538"/>
  </r>
  <r>
    <s v="PRD-1540"/>
    <x v="78"/>
    <x v="1"/>
    <x v="5"/>
    <n v="10.49"/>
    <n v="22.78"/>
    <n v="213"/>
    <x v="60"/>
    <n v="94"/>
    <n v="47"/>
    <x v="1"/>
    <n v="12.290000000000001"/>
    <n v="2710.82"/>
    <x v="539"/>
  </r>
  <r>
    <s v="PRD-1541"/>
    <x v="41"/>
    <x v="2"/>
    <x v="1"/>
    <n v="14.91"/>
    <n v="30.42"/>
    <n v="353"/>
    <x v="58"/>
    <n v="288"/>
    <n v="68"/>
    <x v="1"/>
    <n v="15.510000000000002"/>
    <n v="1977.3000000000002"/>
    <x v="540"/>
  </r>
  <r>
    <s v="PRD-1542"/>
    <x v="69"/>
    <x v="4"/>
    <x v="6"/>
    <n v="5.14"/>
    <n v="7.91"/>
    <n v="480"/>
    <x v="88"/>
    <n v="243"/>
    <n v="88"/>
    <x v="1"/>
    <n v="2.7700000000000005"/>
    <n v="1874.67"/>
    <x v="541"/>
  </r>
  <r>
    <s v="PRD-1543"/>
    <x v="21"/>
    <x v="2"/>
    <x v="1"/>
    <n v="22.2"/>
    <n v="48.49"/>
    <n v="262"/>
    <x v="126"/>
    <n v="178"/>
    <n v="51"/>
    <x v="1"/>
    <n v="26.290000000000003"/>
    <n v="4073.1600000000003"/>
    <x v="542"/>
  </r>
  <r>
    <s v="PRD-1544"/>
    <x v="10"/>
    <x v="5"/>
    <x v="5"/>
    <n v="1.04"/>
    <n v="1.59"/>
    <n v="393"/>
    <x v="261"/>
    <n v="60"/>
    <n v="94"/>
    <x v="0"/>
    <n v="0.55000000000000004"/>
    <n v="529.47"/>
    <x v="543"/>
  </r>
  <r>
    <s v="PRD-1545"/>
    <x v="50"/>
    <x v="3"/>
    <x v="5"/>
    <n v="21.77"/>
    <n v="43.7"/>
    <n v="231"/>
    <x v="199"/>
    <n v="70"/>
    <n v="51"/>
    <x v="1"/>
    <n v="21.930000000000003"/>
    <n v="7035.7000000000007"/>
    <x v="544"/>
  </r>
  <r>
    <s v="PRD-1546"/>
    <x v="15"/>
    <x v="5"/>
    <x v="1"/>
    <n v="2.82"/>
    <n v="5.99"/>
    <n v="277"/>
    <x v="164"/>
    <n v="206"/>
    <n v="51"/>
    <x v="1"/>
    <n v="3.1700000000000004"/>
    <n v="425.29"/>
    <x v="545"/>
  </r>
  <r>
    <s v="PRD-1547"/>
    <x v="4"/>
    <x v="0"/>
    <x v="2"/>
    <n v="24.56"/>
    <n v="33.200000000000003"/>
    <n v="364"/>
    <x v="262"/>
    <n v="112"/>
    <n v="80"/>
    <x v="1"/>
    <n v="8.6400000000000041"/>
    <n v="8366.4000000000015"/>
    <x v="546"/>
  </r>
  <r>
    <s v="PRD-1548"/>
    <x v="76"/>
    <x v="5"/>
    <x v="5"/>
    <n v="8.5"/>
    <n v="14.88"/>
    <n v="267"/>
    <x v="123"/>
    <n v="190"/>
    <n v="37"/>
    <x v="1"/>
    <n v="6.3800000000000008"/>
    <n v="1145.76"/>
    <x v="547"/>
  </r>
  <r>
    <s v="PRD-1549"/>
    <x v="25"/>
    <x v="5"/>
    <x v="9"/>
    <n v="6.79"/>
    <n v="12"/>
    <n v="355"/>
    <x v="19"/>
    <n v="64"/>
    <n v="48"/>
    <x v="1"/>
    <n v="5.21"/>
    <n v="3492"/>
    <x v="143"/>
  </r>
  <r>
    <s v="PRD-1550"/>
    <x v="78"/>
    <x v="1"/>
    <x v="2"/>
    <n v="14.69"/>
    <n v="29.48"/>
    <n v="343"/>
    <x v="49"/>
    <n v="288"/>
    <n v="64"/>
    <x v="1"/>
    <n v="14.790000000000001"/>
    <n v="1621.4"/>
    <x v="548"/>
  </r>
  <r>
    <s v="PRD-1551"/>
    <x v="38"/>
    <x v="2"/>
    <x v="5"/>
    <n v="11.41"/>
    <n v="15.84"/>
    <n v="478"/>
    <x v="263"/>
    <n v="56"/>
    <n v="62"/>
    <x v="0"/>
    <n v="4.43"/>
    <n v="6684.48"/>
    <x v="549"/>
  </r>
  <r>
    <s v="PRD-1552"/>
    <x v="57"/>
    <x v="6"/>
    <x v="2"/>
    <n v="17.3"/>
    <n v="29.07"/>
    <n v="356"/>
    <x v="264"/>
    <n v="54"/>
    <n v="49"/>
    <x v="1"/>
    <n v="11.77"/>
    <n v="8779.14"/>
    <x v="550"/>
  </r>
  <r>
    <s v="PRD-1553"/>
    <x v="75"/>
    <x v="3"/>
    <x v="6"/>
    <n v="2.83"/>
    <n v="4.3"/>
    <n v="170"/>
    <x v="171"/>
    <n v="61"/>
    <n v="37"/>
    <x v="1"/>
    <n v="1.4699999999999998"/>
    <n v="468.7"/>
    <x v="551"/>
  </r>
  <r>
    <s v="PRD-1554"/>
    <x v="14"/>
    <x v="1"/>
    <x v="1"/>
    <n v="6.02"/>
    <n v="9.1199999999999992"/>
    <n v="62"/>
    <x v="127"/>
    <n v="22"/>
    <n v="15"/>
    <x v="1"/>
    <n v="3.0999999999999996"/>
    <n v="364.79999999999995"/>
    <x v="552"/>
  </r>
  <r>
    <s v="PRD-1555"/>
    <x v="2"/>
    <x v="2"/>
    <x v="8"/>
    <n v="14.73"/>
    <n v="22.35"/>
    <n v="471"/>
    <x v="216"/>
    <n v="217"/>
    <n v="104"/>
    <x v="1"/>
    <n v="7.620000000000001"/>
    <n v="5676.9000000000005"/>
    <x v="553"/>
  </r>
  <r>
    <s v="PRD-1556"/>
    <x v="68"/>
    <x v="5"/>
    <x v="5"/>
    <n v="3.33"/>
    <n v="5.97"/>
    <n v="109"/>
    <x v="75"/>
    <n v="88"/>
    <n v="22"/>
    <x v="1"/>
    <n v="2.6399999999999997"/>
    <n v="125.36999999999999"/>
    <x v="554"/>
  </r>
  <r>
    <s v="PRD-1557"/>
    <x v="25"/>
    <x v="5"/>
    <x v="7"/>
    <n v="1.08"/>
    <n v="1.91"/>
    <n v="207"/>
    <x v="78"/>
    <n v="74"/>
    <n v="25"/>
    <x v="1"/>
    <n v="0.82999999999999985"/>
    <n v="254.03"/>
    <x v="555"/>
  </r>
  <r>
    <s v="PRD-1558"/>
    <x v="30"/>
    <x v="4"/>
    <x v="7"/>
    <n v="2.52"/>
    <n v="4.3499999999999996"/>
    <n v="148"/>
    <x v="219"/>
    <n v="80"/>
    <n v="24"/>
    <x v="1"/>
    <n v="1.8299999999999996"/>
    <n v="295.79999999999995"/>
    <x v="556"/>
  </r>
  <r>
    <s v="PRD-1559"/>
    <x v="52"/>
    <x v="1"/>
    <x v="3"/>
    <n v="13.63"/>
    <n v="29.41"/>
    <n v="339"/>
    <x v="21"/>
    <n v="156"/>
    <n v="62"/>
    <x v="1"/>
    <n v="15.78"/>
    <n v="5382.03"/>
    <x v="557"/>
  </r>
  <r>
    <s v="PRD-1560"/>
    <x v="4"/>
    <x v="0"/>
    <x v="3"/>
    <n v="16.5"/>
    <n v="25"/>
    <n v="303"/>
    <x v="104"/>
    <n v="241"/>
    <n v="65"/>
    <x v="1"/>
    <n v="8.5"/>
    <n v="1550"/>
    <x v="558"/>
  </r>
  <r>
    <s v="PRD-1561"/>
    <x v="59"/>
    <x v="0"/>
    <x v="0"/>
    <n v="14.91"/>
    <n v="22.2"/>
    <n v="162"/>
    <x v="120"/>
    <n v="27"/>
    <n v="39"/>
    <x v="0"/>
    <n v="7.2899999999999991"/>
    <n v="2997"/>
    <x v="559"/>
  </r>
  <r>
    <s v="PRD-1562"/>
    <x v="38"/>
    <x v="2"/>
    <x v="7"/>
    <n v="20.92"/>
    <n v="36.799999999999997"/>
    <n v="240"/>
    <x v="265"/>
    <n v="48"/>
    <n v="32"/>
    <x v="1"/>
    <n v="15.879999999999995"/>
    <n v="7065.5999999999995"/>
    <x v="560"/>
  </r>
  <r>
    <s v="PRD-1563"/>
    <x v="78"/>
    <x v="1"/>
    <x v="5"/>
    <n v="16.14"/>
    <n v="21.37"/>
    <n v="204"/>
    <x v="125"/>
    <n v="111"/>
    <n v="27"/>
    <x v="1"/>
    <n v="5.23"/>
    <n v="1987.41"/>
    <x v="561"/>
  </r>
  <r>
    <s v="PRD-1564"/>
    <x v="76"/>
    <x v="5"/>
    <x v="6"/>
    <n v="3.46"/>
    <n v="6.62"/>
    <n v="160"/>
    <x v="266"/>
    <n v="132"/>
    <n v="18"/>
    <x v="1"/>
    <n v="3.16"/>
    <n v="185.36"/>
    <x v="562"/>
  </r>
  <r>
    <s v="PRD-1565"/>
    <x v="65"/>
    <x v="1"/>
    <x v="7"/>
    <n v="19.13"/>
    <n v="34.11"/>
    <n v="342"/>
    <x v="24"/>
    <n v="83"/>
    <n v="69"/>
    <x v="1"/>
    <n v="14.98"/>
    <n v="8834.49"/>
    <x v="563"/>
  </r>
  <r>
    <s v="PRD-1566"/>
    <x v="62"/>
    <x v="7"/>
    <x v="3"/>
    <n v="77.45"/>
    <n v="114.95"/>
    <n v="346"/>
    <x v="198"/>
    <n v="243"/>
    <n v="76"/>
    <x v="1"/>
    <n v="37.5"/>
    <n v="11839.85"/>
    <x v="564"/>
  </r>
  <r>
    <s v="PRD-1567"/>
    <x v="34"/>
    <x v="4"/>
    <x v="0"/>
    <n v="8.6300000000000008"/>
    <n v="15.75"/>
    <n v="314"/>
    <x v="51"/>
    <n v="239"/>
    <n v="58"/>
    <x v="1"/>
    <n v="7.1199999999999992"/>
    <n v="1181.25"/>
    <x v="565"/>
  </r>
  <r>
    <s v="PRD-1568"/>
    <x v="56"/>
    <x v="7"/>
    <x v="8"/>
    <n v="18.61"/>
    <n v="39.14"/>
    <n v="233"/>
    <x v="77"/>
    <n v="185"/>
    <n v="45"/>
    <x v="1"/>
    <n v="20.53"/>
    <n v="1878.72"/>
    <x v="566"/>
  </r>
  <r>
    <s v="PRD-1569"/>
    <x v="46"/>
    <x v="7"/>
    <x v="6"/>
    <n v="65.83"/>
    <n v="87.36"/>
    <n v="221"/>
    <x v="123"/>
    <n v="144"/>
    <n v="46"/>
    <x v="1"/>
    <n v="21.53"/>
    <n v="6726.72"/>
    <x v="567"/>
  </r>
  <r>
    <s v="PRD-1570"/>
    <x v="65"/>
    <x v="1"/>
    <x v="8"/>
    <n v="7.04"/>
    <n v="10.65"/>
    <n v="360"/>
    <x v="44"/>
    <n v="322"/>
    <n v="42"/>
    <x v="1"/>
    <n v="3.6100000000000003"/>
    <n v="404.7"/>
    <x v="568"/>
  </r>
  <r>
    <s v="PRD-1571"/>
    <x v="70"/>
    <x v="3"/>
    <x v="8"/>
    <n v="18.62"/>
    <n v="25.44"/>
    <n v="86"/>
    <x v="65"/>
    <n v="67"/>
    <n v="10"/>
    <x v="1"/>
    <n v="6.82"/>
    <n v="483.36"/>
    <x v="569"/>
  </r>
  <r>
    <s v="PRD-1572"/>
    <x v="41"/>
    <x v="2"/>
    <x v="8"/>
    <n v="15.46"/>
    <n v="30.06"/>
    <n v="480"/>
    <x v="25"/>
    <n v="309"/>
    <n v="102"/>
    <x v="1"/>
    <n v="14.599999999999998"/>
    <n v="5140.26"/>
    <x v="570"/>
  </r>
  <r>
    <s v="PRD-1573"/>
    <x v="54"/>
    <x v="6"/>
    <x v="6"/>
    <n v="34.450000000000003"/>
    <n v="62"/>
    <n v="358"/>
    <x v="85"/>
    <n v="82"/>
    <n v="57"/>
    <x v="1"/>
    <n v="27.549999999999997"/>
    <n v="17112"/>
    <x v="571"/>
  </r>
  <r>
    <s v="PRD-1574"/>
    <x v="60"/>
    <x v="1"/>
    <x v="5"/>
    <n v="16.059999999999999"/>
    <n v="22.52"/>
    <n v="66"/>
    <x v="154"/>
    <n v="35"/>
    <n v="11"/>
    <x v="1"/>
    <n v="6.4600000000000009"/>
    <n v="698.12"/>
    <x v="572"/>
  </r>
  <r>
    <s v="PRD-1575"/>
    <x v="21"/>
    <x v="2"/>
    <x v="6"/>
    <n v="22.36"/>
    <n v="34.6"/>
    <n v="25"/>
    <x v="6"/>
    <n v="19"/>
    <n v="4"/>
    <x v="1"/>
    <n v="12.240000000000002"/>
    <n v="207.60000000000002"/>
    <x v="573"/>
  </r>
  <r>
    <s v="PRD-1576"/>
    <x v="25"/>
    <x v="5"/>
    <x v="6"/>
    <n v="9.69"/>
    <n v="19.79"/>
    <n v="268"/>
    <x v="158"/>
    <n v="94"/>
    <n v="36"/>
    <x v="1"/>
    <n v="10.1"/>
    <n v="3443.46"/>
    <x v="574"/>
  </r>
  <r>
    <s v="PRD-1577"/>
    <x v="24"/>
    <x v="5"/>
    <x v="8"/>
    <n v="0.95"/>
    <n v="1.49"/>
    <n v="483"/>
    <x v="267"/>
    <n v="396"/>
    <n v="108"/>
    <x v="1"/>
    <n v="0.54"/>
    <n v="129.63"/>
    <x v="575"/>
  </r>
  <r>
    <s v="PRD-1578"/>
    <x v="76"/>
    <x v="5"/>
    <x v="5"/>
    <n v="6.89"/>
    <n v="10.029999999999999"/>
    <n v="94"/>
    <x v="164"/>
    <n v="23"/>
    <n v="17"/>
    <x v="1"/>
    <n v="3.1399999999999997"/>
    <n v="712.13"/>
    <x v="576"/>
  </r>
  <r>
    <s v="PRD-1579"/>
    <x v="46"/>
    <x v="7"/>
    <x v="2"/>
    <n v="67.91"/>
    <n v="106.24"/>
    <n v="284"/>
    <x v="268"/>
    <n v="95"/>
    <n v="59"/>
    <x v="1"/>
    <n v="38.33"/>
    <n v="20079.36"/>
    <x v="577"/>
  </r>
  <r>
    <s v="PRD-1580"/>
    <x v="78"/>
    <x v="1"/>
    <x v="3"/>
    <n v="13.64"/>
    <n v="26.56"/>
    <n v="289"/>
    <x v="193"/>
    <n v="228"/>
    <n v="38"/>
    <x v="1"/>
    <n v="12.919999999999998"/>
    <n v="1620.1599999999999"/>
    <x v="578"/>
  </r>
  <r>
    <s v="PRD-1581"/>
    <x v="9"/>
    <x v="0"/>
    <x v="9"/>
    <n v="7.02"/>
    <n v="14.15"/>
    <n v="450"/>
    <x v="269"/>
    <n v="220"/>
    <n v="52"/>
    <x v="1"/>
    <n v="7.1300000000000008"/>
    <n v="3254.5"/>
    <x v="579"/>
  </r>
  <r>
    <s v="PRD-1582"/>
    <x v="51"/>
    <x v="5"/>
    <x v="9"/>
    <n v="7.07"/>
    <n v="12.87"/>
    <n v="481"/>
    <x v="41"/>
    <n v="335"/>
    <n v="88"/>
    <x v="1"/>
    <n v="5.7999999999999989"/>
    <n v="1879.02"/>
    <x v="580"/>
  </r>
  <r>
    <s v="PRD-1583"/>
    <x v="52"/>
    <x v="1"/>
    <x v="1"/>
    <n v="17.54"/>
    <n v="31.71"/>
    <n v="180"/>
    <x v="61"/>
    <n v="122"/>
    <n v="29"/>
    <x v="1"/>
    <n v="14.170000000000002"/>
    <n v="1839.18"/>
    <x v="581"/>
  </r>
  <r>
    <s v="PRD-1584"/>
    <x v="47"/>
    <x v="4"/>
    <x v="7"/>
    <n v="3.3"/>
    <n v="6.45"/>
    <n v="167"/>
    <x v="105"/>
    <n v="52"/>
    <n v="23"/>
    <x v="1"/>
    <n v="3.1500000000000004"/>
    <n v="741.75"/>
    <x v="582"/>
  </r>
  <r>
    <s v="PRD-1585"/>
    <x v="3"/>
    <x v="3"/>
    <x v="3"/>
    <n v="8.59"/>
    <n v="17.96"/>
    <n v="243"/>
    <x v="167"/>
    <n v="77"/>
    <n v="31"/>
    <x v="1"/>
    <n v="9.370000000000001"/>
    <n v="2981.36"/>
    <x v="583"/>
  </r>
  <r>
    <s v="PRD-1586"/>
    <x v="22"/>
    <x v="3"/>
    <x v="1"/>
    <n v="5.69"/>
    <n v="9.0500000000000007"/>
    <n v="191"/>
    <x v="87"/>
    <n v="14"/>
    <n v="44"/>
    <x v="0"/>
    <n v="3.3600000000000003"/>
    <n v="1601.8500000000001"/>
    <x v="584"/>
  </r>
  <r>
    <s v="PRD-1587"/>
    <x v="53"/>
    <x v="7"/>
    <x v="2"/>
    <n v="72.36"/>
    <n v="149.33000000000001"/>
    <n v="122"/>
    <x v="131"/>
    <n v="88"/>
    <n v="22"/>
    <x v="1"/>
    <n v="76.970000000000013"/>
    <n v="5077.22"/>
    <x v="585"/>
  </r>
  <r>
    <s v="PRD-1588"/>
    <x v="0"/>
    <x v="0"/>
    <x v="8"/>
    <n v="27.67"/>
    <n v="36.18"/>
    <n v="369"/>
    <x v="203"/>
    <n v="263"/>
    <n v="53"/>
    <x v="1"/>
    <n v="8.509999999999998"/>
    <n v="3835.08"/>
    <x v="586"/>
  </r>
  <r>
    <s v="PRD-1589"/>
    <x v="29"/>
    <x v="3"/>
    <x v="7"/>
    <n v="21.58"/>
    <n v="42.24"/>
    <n v="452"/>
    <x v="270"/>
    <n v="62"/>
    <n v="106"/>
    <x v="0"/>
    <n v="20.660000000000004"/>
    <n v="16473.600000000002"/>
    <x v="587"/>
  </r>
  <r>
    <s v="PRD-1590"/>
    <x v="27"/>
    <x v="7"/>
    <x v="5"/>
    <n v="5.68"/>
    <n v="8.5500000000000007"/>
    <n v="479"/>
    <x v="108"/>
    <n v="394"/>
    <n v="78"/>
    <x v="1"/>
    <n v="2.870000000000001"/>
    <n v="726.75000000000011"/>
    <x v="588"/>
  </r>
  <r>
    <s v="PRD-1591"/>
    <x v="26"/>
    <x v="3"/>
    <x v="1"/>
    <n v="13.59"/>
    <n v="20.57"/>
    <n v="164"/>
    <x v="71"/>
    <n v="122"/>
    <n v="22"/>
    <x v="1"/>
    <n v="6.98"/>
    <n v="863.94"/>
    <x v="589"/>
  </r>
  <r>
    <s v="PRD-1592"/>
    <x v="37"/>
    <x v="6"/>
    <x v="4"/>
    <n v="21.98"/>
    <n v="39.36"/>
    <n v="292"/>
    <x v="139"/>
    <n v="128"/>
    <n v="57"/>
    <x v="1"/>
    <n v="17.38"/>
    <n v="6455.04"/>
    <x v="590"/>
  </r>
  <r>
    <s v="PRD-1593"/>
    <x v="74"/>
    <x v="0"/>
    <x v="2"/>
    <n v="2.38"/>
    <n v="4.92"/>
    <n v="357"/>
    <x v="271"/>
    <n v="95"/>
    <n v="88"/>
    <x v="1"/>
    <n v="2.54"/>
    <n v="1289.04"/>
    <x v="591"/>
  </r>
  <r>
    <s v="PRD-1594"/>
    <x v="59"/>
    <x v="0"/>
    <x v="3"/>
    <n v="21.28"/>
    <n v="45.74"/>
    <n v="83"/>
    <x v="183"/>
    <n v="29"/>
    <n v="14"/>
    <x v="1"/>
    <n v="24.46"/>
    <n v="2469.96"/>
    <x v="592"/>
  </r>
  <r>
    <s v="PRD-1595"/>
    <x v="78"/>
    <x v="1"/>
    <x v="5"/>
    <n v="17.899999999999999"/>
    <n v="25.67"/>
    <n v="487"/>
    <x v="47"/>
    <n v="322"/>
    <n v="76"/>
    <x v="1"/>
    <n v="7.7700000000000031"/>
    <n v="4235.55"/>
    <x v="593"/>
  </r>
  <r>
    <s v="PRD-1596"/>
    <x v="58"/>
    <x v="6"/>
    <x v="3"/>
    <n v="8.07"/>
    <n v="11.59"/>
    <n v="179"/>
    <x v="272"/>
    <n v="93"/>
    <n v="18"/>
    <x v="1"/>
    <n v="3.5199999999999996"/>
    <n v="996.74"/>
    <x v="594"/>
  </r>
  <r>
    <s v="PRD-1597"/>
    <x v="59"/>
    <x v="0"/>
    <x v="4"/>
    <n v="17.510000000000002"/>
    <n v="24.08"/>
    <n v="321"/>
    <x v="273"/>
    <n v="200"/>
    <n v="36"/>
    <x v="1"/>
    <n v="6.5699999999999967"/>
    <n v="2913.68"/>
    <x v="595"/>
  </r>
  <r>
    <s v="PRD-1598"/>
    <x v="49"/>
    <x v="6"/>
    <x v="1"/>
    <n v="31.12"/>
    <n v="66.94"/>
    <n v="31"/>
    <x v="75"/>
    <n v="10"/>
    <n v="6"/>
    <x v="1"/>
    <n v="35.819999999999993"/>
    <n v="1405.74"/>
    <x v="596"/>
  </r>
  <r>
    <s v="PRD-1599"/>
    <x v="11"/>
    <x v="4"/>
    <x v="7"/>
    <n v="10.99"/>
    <n v="17.55"/>
    <n v="442"/>
    <x v="91"/>
    <n v="369"/>
    <n v="96"/>
    <x v="1"/>
    <n v="6.5600000000000005"/>
    <n v="1281.1500000000001"/>
    <x v="597"/>
  </r>
  <r>
    <s v="PRD-1600"/>
    <x v="20"/>
    <x v="3"/>
    <x v="7"/>
    <n v="16.82"/>
    <n v="28.96"/>
    <n v="162"/>
    <x v="214"/>
    <n v="50"/>
    <n v="29"/>
    <x v="1"/>
    <n v="12.14"/>
    <n v="3243.52"/>
    <x v="598"/>
  </r>
  <r>
    <s v="PRD-1601"/>
    <x v="46"/>
    <x v="7"/>
    <x v="6"/>
    <n v="71.75"/>
    <n v="130.69"/>
    <n v="360"/>
    <x v="274"/>
    <n v="268"/>
    <n v="73"/>
    <x v="1"/>
    <n v="58.94"/>
    <n v="12023.48"/>
    <x v="599"/>
  </r>
  <r>
    <s v="PRD-1602"/>
    <x v="57"/>
    <x v="6"/>
    <x v="0"/>
    <n v="19.100000000000001"/>
    <n v="34.090000000000003"/>
    <n v="279"/>
    <x v="220"/>
    <n v="213"/>
    <n v="31"/>
    <x v="1"/>
    <n v="14.990000000000002"/>
    <n v="2249.94"/>
    <x v="600"/>
  </r>
  <r>
    <s v="PRD-1603"/>
    <x v="4"/>
    <x v="0"/>
    <x v="1"/>
    <n v="3.44"/>
    <n v="7.12"/>
    <n v="464"/>
    <x v="92"/>
    <n v="185"/>
    <n v="58"/>
    <x v="1"/>
    <n v="3.68"/>
    <n v="1986.48"/>
    <x v="601"/>
  </r>
  <r>
    <s v="PRD-1604"/>
    <x v="1"/>
    <x v="1"/>
    <x v="9"/>
    <n v="7.33"/>
    <n v="15.9"/>
    <n v="260"/>
    <x v="250"/>
    <n v="21"/>
    <n v="52"/>
    <x v="0"/>
    <n v="8.57"/>
    <n v="3800.1"/>
    <x v="602"/>
  </r>
  <r>
    <s v="PRD-1605"/>
    <x v="18"/>
    <x v="1"/>
    <x v="3"/>
    <n v="2.76"/>
    <n v="5.65"/>
    <n v="132"/>
    <x v="77"/>
    <n v="84"/>
    <n v="18"/>
    <x v="1"/>
    <n v="2.8900000000000006"/>
    <n v="271.20000000000005"/>
    <x v="603"/>
  </r>
  <r>
    <s v="PRD-1606"/>
    <x v="53"/>
    <x v="7"/>
    <x v="7"/>
    <n v="46.1"/>
    <n v="95.51"/>
    <n v="188"/>
    <x v="87"/>
    <n v="11"/>
    <n v="22"/>
    <x v="0"/>
    <n v="49.410000000000004"/>
    <n v="16905.27"/>
    <x v="604"/>
  </r>
  <r>
    <s v="PRD-1607"/>
    <x v="27"/>
    <x v="7"/>
    <x v="3"/>
    <n v="37.78"/>
    <n v="53.51"/>
    <n v="159"/>
    <x v="49"/>
    <n v="104"/>
    <n v="19"/>
    <x v="1"/>
    <n v="15.729999999999997"/>
    <n v="2943.0499999999997"/>
    <x v="605"/>
  </r>
  <r>
    <s v="PRD-1608"/>
    <x v="38"/>
    <x v="2"/>
    <x v="1"/>
    <n v="14.25"/>
    <n v="30.58"/>
    <n v="379"/>
    <x v="261"/>
    <n v="46"/>
    <n v="56"/>
    <x v="0"/>
    <n v="16.329999999999998"/>
    <n v="10183.14"/>
    <x v="606"/>
  </r>
  <r>
    <s v="PRD-1609"/>
    <x v="30"/>
    <x v="4"/>
    <x v="9"/>
    <n v="10.4"/>
    <n v="19.63"/>
    <n v="388"/>
    <x v="99"/>
    <n v="292"/>
    <n v="39"/>
    <x v="1"/>
    <n v="9.2299999999999986"/>
    <n v="1884.48"/>
    <x v="607"/>
  </r>
  <r>
    <s v="PRD-1610"/>
    <x v="44"/>
    <x v="1"/>
    <x v="3"/>
    <n v="6.09"/>
    <n v="12.65"/>
    <n v="450"/>
    <x v="106"/>
    <n v="383"/>
    <n v="91"/>
    <x v="1"/>
    <n v="6.5600000000000005"/>
    <n v="847.55000000000007"/>
    <x v="608"/>
  </r>
  <r>
    <s v="PRD-1611"/>
    <x v="50"/>
    <x v="3"/>
    <x v="8"/>
    <n v="22.26"/>
    <n v="46.58"/>
    <n v="218"/>
    <x v="187"/>
    <n v="174"/>
    <n v="29"/>
    <x v="1"/>
    <n v="24.319999999999997"/>
    <n v="2049.52"/>
    <x v="609"/>
  </r>
  <r>
    <s v="PRD-1612"/>
    <x v="8"/>
    <x v="2"/>
    <x v="5"/>
    <n v="20.13"/>
    <n v="35.549999999999997"/>
    <n v="312"/>
    <x v="164"/>
    <n v="241"/>
    <n v="68"/>
    <x v="1"/>
    <n v="15.419999999999998"/>
    <n v="2524.0499999999997"/>
    <x v="610"/>
  </r>
  <r>
    <s v="PRD-1613"/>
    <x v="26"/>
    <x v="3"/>
    <x v="5"/>
    <n v="14.03"/>
    <n v="20.66"/>
    <n v="81"/>
    <x v="32"/>
    <n v="28"/>
    <n v="10"/>
    <x v="1"/>
    <n v="6.6300000000000008"/>
    <n v="1094.98"/>
    <x v="611"/>
  </r>
  <r>
    <s v="PRD-1614"/>
    <x v="10"/>
    <x v="5"/>
    <x v="7"/>
    <n v="13.94"/>
    <n v="22.45"/>
    <n v="201"/>
    <x v="5"/>
    <n v="149"/>
    <n v="48"/>
    <x v="1"/>
    <n v="8.51"/>
    <n v="1167.3999999999999"/>
    <x v="612"/>
  </r>
  <r>
    <s v="PRD-1615"/>
    <x v="36"/>
    <x v="3"/>
    <x v="8"/>
    <n v="19.309999999999999"/>
    <n v="28.06"/>
    <n v="22"/>
    <x v="1"/>
    <n v="12"/>
    <n v="4"/>
    <x v="1"/>
    <n v="8.75"/>
    <n v="280.59999999999997"/>
    <x v="613"/>
  </r>
  <r>
    <s v="PRD-1616"/>
    <x v="31"/>
    <x v="6"/>
    <x v="9"/>
    <n v="25.79"/>
    <n v="48.66"/>
    <n v="222"/>
    <x v="211"/>
    <n v="158"/>
    <n v="46"/>
    <x v="1"/>
    <n v="22.869999999999997"/>
    <n v="3114.24"/>
    <x v="614"/>
  </r>
  <r>
    <s v="PRD-1617"/>
    <x v="54"/>
    <x v="6"/>
    <x v="5"/>
    <n v="6.5"/>
    <n v="13.84"/>
    <n v="215"/>
    <x v="107"/>
    <n v="170"/>
    <n v="49"/>
    <x v="1"/>
    <n v="7.34"/>
    <n v="622.79999999999995"/>
    <x v="615"/>
  </r>
  <r>
    <s v="PRD-1618"/>
    <x v="41"/>
    <x v="2"/>
    <x v="5"/>
    <n v="24.83"/>
    <n v="52.87"/>
    <n v="386"/>
    <x v="195"/>
    <n v="291"/>
    <n v="68"/>
    <x v="1"/>
    <n v="28.04"/>
    <n v="5022.6499999999996"/>
    <x v="616"/>
  </r>
  <r>
    <s v="PRD-1619"/>
    <x v="35"/>
    <x v="4"/>
    <x v="4"/>
    <n v="2.33"/>
    <n v="3.84"/>
    <n v="35"/>
    <x v="6"/>
    <n v="29"/>
    <n v="3"/>
    <x v="1"/>
    <n v="1.5099999999999998"/>
    <n v="23.04"/>
    <x v="617"/>
  </r>
  <r>
    <s v="PRD-1620"/>
    <x v="34"/>
    <x v="4"/>
    <x v="9"/>
    <n v="1.52"/>
    <n v="2.15"/>
    <n v="157"/>
    <x v="80"/>
    <n v="56"/>
    <n v="19"/>
    <x v="1"/>
    <n v="0.62999999999999989"/>
    <n v="217.14999999999998"/>
    <x v="618"/>
  </r>
  <r>
    <s v="PRD-1621"/>
    <x v="76"/>
    <x v="5"/>
    <x v="6"/>
    <n v="2.69"/>
    <n v="5.05"/>
    <n v="482"/>
    <x v="258"/>
    <n v="272"/>
    <n v="48"/>
    <x v="1"/>
    <n v="2.36"/>
    <n v="1060.5"/>
    <x v="619"/>
  </r>
  <r>
    <s v="PRD-1622"/>
    <x v="45"/>
    <x v="5"/>
    <x v="8"/>
    <n v="1.41"/>
    <n v="1.88"/>
    <n v="399"/>
    <x v="39"/>
    <n v="109"/>
    <n v="65"/>
    <x v="1"/>
    <n v="0.47"/>
    <n v="545.19999999999993"/>
    <x v="620"/>
  </r>
  <r>
    <s v="PRD-1623"/>
    <x v="57"/>
    <x v="6"/>
    <x v="0"/>
    <n v="25.05"/>
    <n v="37.97"/>
    <n v="374"/>
    <x v="134"/>
    <n v="212"/>
    <n v="49"/>
    <x v="1"/>
    <n v="12.919999999999998"/>
    <n v="6151.1399999999994"/>
    <x v="621"/>
  </r>
  <r>
    <s v="PRD-1624"/>
    <x v="65"/>
    <x v="1"/>
    <x v="3"/>
    <n v="15.17"/>
    <n v="27.2"/>
    <n v="52"/>
    <x v="52"/>
    <n v="9"/>
    <n v="9"/>
    <x v="0"/>
    <n v="12.03"/>
    <n v="1169.5999999999999"/>
    <x v="622"/>
  </r>
  <r>
    <s v="PRD-1625"/>
    <x v="53"/>
    <x v="7"/>
    <x v="8"/>
    <n v="3.01"/>
    <n v="5.23"/>
    <n v="219"/>
    <x v="33"/>
    <n v="63"/>
    <n v="36"/>
    <x v="1"/>
    <n v="2.2200000000000006"/>
    <n v="815.88000000000011"/>
    <x v="623"/>
  </r>
  <r>
    <s v="PRD-1626"/>
    <x v="24"/>
    <x v="5"/>
    <x v="1"/>
    <n v="13.17"/>
    <n v="28.61"/>
    <n v="479"/>
    <x v="275"/>
    <n v="195"/>
    <n v="52"/>
    <x v="1"/>
    <n v="15.44"/>
    <n v="8125.24"/>
    <x v="624"/>
  </r>
  <r>
    <s v="PRD-1627"/>
    <x v="77"/>
    <x v="7"/>
    <x v="0"/>
    <n v="61.78"/>
    <n v="123.61"/>
    <n v="321"/>
    <x v="71"/>
    <n v="279"/>
    <n v="49"/>
    <x v="1"/>
    <n v="61.83"/>
    <n v="5191.62"/>
    <x v="625"/>
  </r>
  <r>
    <s v="PRD-1628"/>
    <x v="8"/>
    <x v="2"/>
    <x v="8"/>
    <n v="21.59"/>
    <n v="35"/>
    <n v="213"/>
    <x v="184"/>
    <n v="132"/>
    <n v="48"/>
    <x v="1"/>
    <n v="13.41"/>
    <n v="2835"/>
    <x v="626"/>
  </r>
  <r>
    <s v="PRD-1629"/>
    <x v="22"/>
    <x v="3"/>
    <x v="9"/>
    <n v="14.25"/>
    <n v="30.17"/>
    <n v="332"/>
    <x v="230"/>
    <n v="66"/>
    <n v="82"/>
    <x v="0"/>
    <n v="15.920000000000002"/>
    <n v="8025.22"/>
    <x v="627"/>
  </r>
  <r>
    <s v="PRD-1630"/>
    <x v="5"/>
    <x v="4"/>
    <x v="7"/>
    <n v="4.3499999999999996"/>
    <n v="8.85"/>
    <n v="274"/>
    <x v="203"/>
    <n v="168"/>
    <n v="35"/>
    <x v="1"/>
    <n v="4.5"/>
    <n v="938.09999999999991"/>
    <x v="628"/>
  </r>
  <r>
    <s v="PRD-1631"/>
    <x v="1"/>
    <x v="1"/>
    <x v="8"/>
    <n v="7.64"/>
    <n v="12.5"/>
    <n v="243"/>
    <x v="7"/>
    <n v="171"/>
    <n v="39"/>
    <x v="1"/>
    <n v="4.8600000000000003"/>
    <n v="900"/>
    <x v="629"/>
  </r>
  <r>
    <s v="PRD-1632"/>
    <x v="2"/>
    <x v="2"/>
    <x v="5"/>
    <n v="14.94"/>
    <n v="30.43"/>
    <n v="350"/>
    <x v="84"/>
    <n v="202"/>
    <n v="42"/>
    <x v="1"/>
    <n v="15.49"/>
    <n v="4503.6400000000003"/>
    <x v="630"/>
  </r>
  <r>
    <s v="PRD-1633"/>
    <x v="42"/>
    <x v="6"/>
    <x v="2"/>
    <n v="13.13"/>
    <n v="25.28"/>
    <n v="414"/>
    <x v="234"/>
    <n v="65"/>
    <n v="56"/>
    <x v="1"/>
    <n v="12.15"/>
    <n v="8822.7200000000012"/>
    <x v="631"/>
  </r>
  <r>
    <s v="PRD-1634"/>
    <x v="53"/>
    <x v="7"/>
    <x v="5"/>
    <n v="31.74"/>
    <n v="55.85"/>
    <n v="278"/>
    <x v="25"/>
    <n v="107"/>
    <n v="29"/>
    <x v="1"/>
    <n v="24.110000000000003"/>
    <n v="9550.35"/>
    <x v="632"/>
  </r>
  <r>
    <s v="PRD-1635"/>
    <x v="25"/>
    <x v="5"/>
    <x v="3"/>
    <n v="1.27"/>
    <n v="2.48"/>
    <n v="160"/>
    <x v="26"/>
    <n v="58"/>
    <n v="21"/>
    <x v="1"/>
    <n v="1.21"/>
    <n v="252.96"/>
    <x v="633"/>
  </r>
  <r>
    <s v="PRD-1636"/>
    <x v="64"/>
    <x v="2"/>
    <x v="2"/>
    <n v="7.09"/>
    <n v="9.4"/>
    <n v="63"/>
    <x v="37"/>
    <n v="38"/>
    <n v="7"/>
    <x v="1"/>
    <n v="2.3100000000000005"/>
    <n v="235"/>
    <x v="634"/>
  </r>
  <r>
    <s v="PRD-1637"/>
    <x v="18"/>
    <x v="1"/>
    <x v="0"/>
    <n v="9.98"/>
    <n v="21.59"/>
    <n v="185"/>
    <x v="195"/>
    <n v="90"/>
    <n v="38"/>
    <x v="1"/>
    <n v="11.61"/>
    <n v="2051.0500000000002"/>
    <x v="635"/>
  </r>
  <r>
    <s v="PRD-1638"/>
    <x v="45"/>
    <x v="5"/>
    <x v="7"/>
    <n v="3.97"/>
    <n v="8.0500000000000007"/>
    <n v="395"/>
    <x v="276"/>
    <n v="41"/>
    <n v="46"/>
    <x v="0"/>
    <n v="4.08"/>
    <n v="2849.7000000000003"/>
    <x v="636"/>
  </r>
  <r>
    <s v="PRD-1639"/>
    <x v="75"/>
    <x v="3"/>
    <x v="0"/>
    <n v="5.0199999999999996"/>
    <n v="10.4"/>
    <n v="214"/>
    <x v="184"/>
    <n v="133"/>
    <n v="36"/>
    <x v="1"/>
    <n v="5.3800000000000008"/>
    <n v="842.4"/>
    <x v="637"/>
  </r>
  <r>
    <s v="PRD-1640"/>
    <x v="71"/>
    <x v="0"/>
    <x v="0"/>
    <n v="11.98"/>
    <n v="25.36"/>
    <n v="277"/>
    <x v="277"/>
    <n v="130"/>
    <n v="60"/>
    <x v="1"/>
    <n v="13.379999999999999"/>
    <n v="3727.92"/>
    <x v="638"/>
  </r>
  <r>
    <s v="PRD-1641"/>
    <x v="50"/>
    <x v="3"/>
    <x v="7"/>
    <n v="22.57"/>
    <n v="32.29"/>
    <n v="455"/>
    <x v="278"/>
    <n v="119"/>
    <n v="107"/>
    <x v="1"/>
    <n v="9.7199999999999989"/>
    <n v="10849.44"/>
    <x v="639"/>
  </r>
  <r>
    <s v="PRD-1642"/>
    <x v="78"/>
    <x v="1"/>
    <x v="5"/>
    <n v="4.8499999999999996"/>
    <n v="7.62"/>
    <n v="414"/>
    <x v="279"/>
    <n v="82"/>
    <n v="67"/>
    <x v="1"/>
    <n v="2.7700000000000005"/>
    <n v="2529.84"/>
    <x v="640"/>
  </r>
  <r>
    <s v="PRD-1643"/>
    <x v="63"/>
    <x v="2"/>
    <x v="1"/>
    <n v="12.57"/>
    <n v="17.829999999999998"/>
    <n v="198"/>
    <x v="218"/>
    <n v="31"/>
    <n v="44"/>
    <x v="0"/>
    <n v="5.259999999999998"/>
    <n v="2977.6099999999997"/>
    <x v="641"/>
  </r>
  <r>
    <s v="PRD-1644"/>
    <x v="25"/>
    <x v="5"/>
    <x v="0"/>
    <n v="7.88"/>
    <n v="11.72"/>
    <n v="366"/>
    <x v="211"/>
    <n v="302"/>
    <n v="65"/>
    <x v="1"/>
    <n v="3.8400000000000007"/>
    <n v="750.08"/>
    <x v="642"/>
  </r>
  <r>
    <s v="PRD-1645"/>
    <x v="31"/>
    <x v="6"/>
    <x v="0"/>
    <n v="4.8600000000000003"/>
    <n v="6.41"/>
    <n v="238"/>
    <x v="193"/>
    <n v="177"/>
    <n v="25"/>
    <x v="1"/>
    <n v="1.5499999999999998"/>
    <n v="391.01"/>
    <x v="643"/>
  </r>
  <r>
    <s v="PRD-1646"/>
    <x v="79"/>
    <x v="4"/>
    <x v="1"/>
    <n v="8.74"/>
    <n v="14.5"/>
    <n v="493"/>
    <x v="119"/>
    <n v="136"/>
    <n v="70"/>
    <x v="1"/>
    <n v="5.76"/>
    <n v="5176.5"/>
    <x v="644"/>
  </r>
  <r>
    <s v="PRD-1647"/>
    <x v="58"/>
    <x v="6"/>
    <x v="7"/>
    <n v="23.94"/>
    <n v="36.049999999999997"/>
    <n v="31"/>
    <x v="1"/>
    <n v="21"/>
    <n v="6"/>
    <x v="1"/>
    <n v="12.109999999999996"/>
    <n v="360.5"/>
    <x v="645"/>
  </r>
  <r>
    <s v="PRD-1648"/>
    <x v="7"/>
    <x v="2"/>
    <x v="0"/>
    <n v="12.34"/>
    <n v="21.67"/>
    <n v="71"/>
    <x v="142"/>
    <n v="48"/>
    <n v="8"/>
    <x v="1"/>
    <n v="9.3300000000000018"/>
    <n v="498.41"/>
    <x v="646"/>
  </r>
  <r>
    <s v="PRD-1649"/>
    <x v="19"/>
    <x v="2"/>
    <x v="7"/>
    <n v="24.53"/>
    <n v="47.05"/>
    <n v="118"/>
    <x v="280"/>
    <n v="29"/>
    <n v="18"/>
    <x v="1"/>
    <n v="22.519999999999996"/>
    <n v="4187.45"/>
    <x v="647"/>
  </r>
  <r>
    <s v="PRD-1650"/>
    <x v="16"/>
    <x v="0"/>
    <x v="8"/>
    <n v="11.06"/>
    <n v="17.809999999999999"/>
    <n v="197"/>
    <x v="154"/>
    <n v="166"/>
    <n v="32"/>
    <x v="1"/>
    <n v="6.7499999999999982"/>
    <n v="552.11"/>
    <x v="648"/>
  </r>
  <r>
    <s v="PRD-1651"/>
    <x v="23"/>
    <x v="0"/>
    <x v="0"/>
    <n v="24.23"/>
    <n v="35.04"/>
    <n v="241"/>
    <x v="37"/>
    <n v="216"/>
    <n v="51"/>
    <x v="1"/>
    <n v="10.809999999999999"/>
    <n v="876"/>
    <x v="649"/>
  </r>
  <r>
    <s v="PRD-1652"/>
    <x v="24"/>
    <x v="5"/>
    <x v="7"/>
    <n v="2.65"/>
    <n v="3.95"/>
    <n v="462"/>
    <x v="281"/>
    <n v="342"/>
    <n v="105"/>
    <x v="1"/>
    <n v="1.3000000000000003"/>
    <n v="474"/>
    <x v="650"/>
  </r>
  <r>
    <s v="PRD-1653"/>
    <x v="61"/>
    <x v="0"/>
    <x v="9"/>
    <n v="16.07"/>
    <n v="29.1"/>
    <n v="326"/>
    <x v="282"/>
    <n v="31"/>
    <n v="33"/>
    <x v="0"/>
    <n v="13.030000000000001"/>
    <n v="8584.5"/>
    <x v="651"/>
  </r>
  <r>
    <s v="PRD-1654"/>
    <x v="44"/>
    <x v="1"/>
    <x v="2"/>
    <n v="15.91"/>
    <n v="23.72"/>
    <n v="419"/>
    <x v="35"/>
    <n v="311"/>
    <n v="44"/>
    <x v="1"/>
    <n v="7.8099999999999987"/>
    <n v="2561.7599999999998"/>
    <x v="652"/>
  </r>
  <r>
    <s v="PRD-1655"/>
    <x v="71"/>
    <x v="0"/>
    <x v="2"/>
    <n v="23.1"/>
    <n v="35.700000000000003"/>
    <n v="41"/>
    <x v="55"/>
    <n v="4"/>
    <n v="4"/>
    <x v="0"/>
    <n v="12.600000000000001"/>
    <n v="1320.9"/>
    <x v="653"/>
  </r>
  <r>
    <s v="PRD-1656"/>
    <x v="66"/>
    <x v="3"/>
    <x v="9"/>
    <n v="15.31"/>
    <n v="27.61"/>
    <n v="95"/>
    <x v="126"/>
    <n v="11"/>
    <n v="12"/>
    <x v="0"/>
    <n v="12.299999999999999"/>
    <n v="2319.2399999999998"/>
    <x v="654"/>
  </r>
  <r>
    <s v="PRD-1657"/>
    <x v="47"/>
    <x v="4"/>
    <x v="3"/>
    <n v="11.82"/>
    <n v="19.809999999999999"/>
    <n v="259"/>
    <x v="29"/>
    <n v="100"/>
    <n v="61"/>
    <x v="1"/>
    <n v="7.9899999999999984"/>
    <n v="3149.79"/>
    <x v="655"/>
  </r>
  <r>
    <s v="PRD-1658"/>
    <x v="37"/>
    <x v="6"/>
    <x v="4"/>
    <n v="33.409999999999997"/>
    <n v="70.430000000000007"/>
    <n v="499"/>
    <x v="283"/>
    <n v="279"/>
    <n v="93"/>
    <x v="1"/>
    <n v="37.02000000000001"/>
    <n v="15494.600000000002"/>
    <x v="656"/>
  </r>
  <r>
    <s v="PRD-1659"/>
    <x v="21"/>
    <x v="2"/>
    <x v="2"/>
    <n v="24.57"/>
    <n v="36.979999999999997"/>
    <n v="213"/>
    <x v="186"/>
    <n v="102"/>
    <n v="45"/>
    <x v="1"/>
    <n v="12.409999999999997"/>
    <n v="4104.78"/>
    <x v="657"/>
  </r>
  <r>
    <s v="PRD-1660"/>
    <x v="45"/>
    <x v="5"/>
    <x v="5"/>
    <n v="14.22"/>
    <n v="26.29"/>
    <n v="293"/>
    <x v="199"/>
    <n v="132"/>
    <n v="35"/>
    <x v="1"/>
    <n v="12.069999999999999"/>
    <n v="4232.6899999999996"/>
    <x v="658"/>
  </r>
  <r>
    <s v="PRD-1661"/>
    <x v="20"/>
    <x v="3"/>
    <x v="4"/>
    <n v="12.43"/>
    <n v="19.75"/>
    <n v="404"/>
    <x v="219"/>
    <n v="336"/>
    <n v="98"/>
    <x v="1"/>
    <n v="7.32"/>
    <n v="1343"/>
    <x v="659"/>
  </r>
  <r>
    <s v="PRD-1662"/>
    <x v="16"/>
    <x v="0"/>
    <x v="3"/>
    <n v="24.93"/>
    <n v="35.33"/>
    <n v="143"/>
    <x v="146"/>
    <n v="9"/>
    <n v="35"/>
    <x v="0"/>
    <n v="10.399999999999999"/>
    <n v="4734.2199999999993"/>
    <x v="660"/>
  </r>
  <r>
    <s v="PRD-1663"/>
    <x v="33"/>
    <x v="6"/>
    <x v="2"/>
    <n v="21.98"/>
    <n v="29.07"/>
    <n v="228"/>
    <x v="12"/>
    <n v="118"/>
    <n v="23"/>
    <x v="1"/>
    <n v="7.09"/>
    <n v="3197.7"/>
    <x v="661"/>
  </r>
  <r>
    <s v="PRD-1664"/>
    <x v="5"/>
    <x v="4"/>
    <x v="2"/>
    <n v="7.32"/>
    <n v="11.21"/>
    <n v="348"/>
    <x v="284"/>
    <n v="20"/>
    <n v="37"/>
    <x v="0"/>
    <n v="3.8900000000000006"/>
    <n v="3676.88"/>
    <x v="662"/>
  </r>
  <r>
    <s v="PRD-1665"/>
    <x v="10"/>
    <x v="5"/>
    <x v="8"/>
    <n v="8.9600000000000009"/>
    <n v="17.190000000000001"/>
    <n v="413"/>
    <x v="26"/>
    <n v="311"/>
    <n v="98"/>
    <x v="1"/>
    <n v="8.23"/>
    <n v="1753.38"/>
    <x v="663"/>
  </r>
  <r>
    <s v="PRD-1666"/>
    <x v="1"/>
    <x v="1"/>
    <x v="4"/>
    <n v="11.25"/>
    <n v="19.32"/>
    <n v="388"/>
    <x v="100"/>
    <n v="298"/>
    <n v="71"/>
    <x v="1"/>
    <n v="8.07"/>
    <n v="1738.8"/>
    <x v="664"/>
  </r>
  <r>
    <s v="PRD-1667"/>
    <x v="63"/>
    <x v="2"/>
    <x v="7"/>
    <n v="7.94"/>
    <n v="17.39"/>
    <n v="162"/>
    <x v="266"/>
    <n v="134"/>
    <n v="35"/>
    <x v="1"/>
    <n v="9.4499999999999993"/>
    <n v="486.92"/>
    <x v="665"/>
  </r>
  <r>
    <s v="PRD-1668"/>
    <x v="58"/>
    <x v="6"/>
    <x v="9"/>
    <n v="32.729999999999997"/>
    <n v="48.96"/>
    <n v="399"/>
    <x v="227"/>
    <n v="271"/>
    <n v="80"/>
    <x v="1"/>
    <n v="16.230000000000004"/>
    <n v="6266.88"/>
    <x v="666"/>
  </r>
  <r>
    <s v="PRD-1669"/>
    <x v="73"/>
    <x v="5"/>
    <x v="8"/>
    <n v="10.44"/>
    <n v="15.98"/>
    <n v="67"/>
    <x v="285"/>
    <n v="54"/>
    <n v="11"/>
    <x v="1"/>
    <n v="5.5400000000000009"/>
    <n v="207.74"/>
    <x v="667"/>
  </r>
  <r>
    <s v="PRD-1670"/>
    <x v="72"/>
    <x v="6"/>
    <x v="9"/>
    <n v="16.21"/>
    <n v="25.2"/>
    <n v="236"/>
    <x v="17"/>
    <n v="195"/>
    <n v="58"/>
    <x v="1"/>
    <n v="8.9899999999999984"/>
    <n v="1033.2"/>
    <x v="668"/>
  </r>
  <r>
    <s v="PRD-1671"/>
    <x v="26"/>
    <x v="3"/>
    <x v="8"/>
    <n v="13.29"/>
    <n v="26.52"/>
    <n v="219"/>
    <x v="107"/>
    <n v="174"/>
    <n v="52"/>
    <x v="1"/>
    <n v="13.23"/>
    <n v="1193.4000000000001"/>
    <x v="669"/>
  </r>
  <r>
    <s v="PRD-1672"/>
    <x v="64"/>
    <x v="2"/>
    <x v="4"/>
    <n v="15.6"/>
    <n v="20.86"/>
    <n v="471"/>
    <x v="180"/>
    <n v="332"/>
    <n v="57"/>
    <x v="1"/>
    <n v="5.26"/>
    <n v="2899.54"/>
    <x v="670"/>
  </r>
  <r>
    <s v="PRD-1673"/>
    <x v="40"/>
    <x v="7"/>
    <x v="3"/>
    <n v="57.82"/>
    <n v="80.069999999999993"/>
    <n v="235"/>
    <x v="286"/>
    <n v="84"/>
    <n v="26"/>
    <x v="1"/>
    <n v="22.249999999999993"/>
    <n v="12090.57"/>
    <x v="671"/>
  </r>
  <r>
    <s v="PRD-1674"/>
    <x v="77"/>
    <x v="7"/>
    <x v="9"/>
    <n v="65.2"/>
    <n v="131.63"/>
    <n v="497"/>
    <x v="287"/>
    <n v="65"/>
    <n v="76"/>
    <x v="0"/>
    <n v="66.429999999999993"/>
    <n v="56864.159999999996"/>
    <x v="672"/>
  </r>
  <r>
    <s v="PRD-1675"/>
    <x v="20"/>
    <x v="3"/>
    <x v="5"/>
    <n v="6.8"/>
    <n v="11.03"/>
    <n v="252"/>
    <x v="155"/>
    <n v="67"/>
    <n v="30"/>
    <x v="1"/>
    <n v="4.2299999999999995"/>
    <n v="2040.55"/>
    <x v="673"/>
  </r>
  <r>
    <s v="PRD-1676"/>
    <x v="53"/>
    <x v="7"/>
    <x v="1"/>
    <n v="31.05"/>
    <n v="43.23"/>
    <n v="480"/>
    <x v="119"/>
    <n v="123"/>
    <n v="119"/>
    <x v="1"/>
    <n v="12.179999999999996"/>
    <n v="15433.109999999999"/>
    <x v="674"/>
  </r>
  <r>
    <s v="PRD-1677"/>
    <x v="72"/>
    <x v="6"/>
    <x v="8"/>
    <n v="11.91"/>
    <n v="21.88"/>
    <n v="472"/>
    <x v="288"/>
    <n v="75"/>
    <n v="66"/>
    <x v="1"/>
    <n v="9.9699999999999989"/>
    <n v="8686.3599999999988"/>
    <x v="675"/>
  </r>
  <r>
    <s v="PRD-1678"/>
    <x v="7"/>
    <x v="2"/>
    <x v="0"/>
    <n v="9.31"/>
    <n v="12.53"/>
    <n v="428"/>
    <x v="289"/>
    <n v="135"/>
    <n v="52"/>
    <x v="1"/>
    <n v="3.2199999999999989"/>
    <n v="3671.29"/>
    <x v="676"/>
  </r>
  <r>
    <s v="PRD-1679"/>
    <x v="6"/>
    <x v="0"/>
    <x v="5"/>
    <n v="4.93"/>
    <n v="6.64"/>
    <n v="239"/>
    <x v="13"/>
    <n v="96"/>
    <n v="27"/>
    <x v="1"/>
    <n v="1.71"/>
    <n v="949.52"/>
    <x v="677"/>
  </r>
  <r>
    <s v="PRD-1680"/>
    <x v="45"/>
    <x v="5"/>
    <x v="8"/>
    <n v="1.67"/>
    <n v="3.08"/>
    <n v="225"/>
    <x v="277"/>
    <n v="78"/>
    <n v="27"/>
    <x v="1"/>
    <n v="1.4100000000000001"/>
    <n v="452.76"/>
    <x v="678"/>
  </r>
  <r>
    <s v="PRD-1681"/>
    <x v="73"/>
    <x v="5"/>
    <x v="3"/>
    <n v="8.4600000000000009"/>
    <n v="14.7"/>
    <n v="461"/>
    <x v="122"/>
    <n v="247"/>
    <n v="70"/>
    <x v="1"/>
    <n v="6.2399999999999984"/>
    <n v="3145.7999999999997"/>
    <x v="679"/>
  </r>
  <r>
    <s v="PRD-1682"/>
    <x v="74"/>
    <x v="0"/>
    <x v="0"/>
    <n v="22.04"/>
    <n v="46.64"/>
    <n v="135"/>
    <x v="106"/>
    <n v="68"/>
    <n v="17"/>
    <x v="1"/>
    <n v="24.6"/>
    <n v="3124.88"/>
    <x v="680"/>
  </r>
  <r>
    <s v="PRD-1683"/>
    <x v="44"/>
    <x v="1"/>
    <x v="5"/>
    <n v="10.19"/>
    <n v="17.78"/>
    <n v="288"/>
    <x v="67"/>
    <n v="83"/>
    <n v="43"/>
    <x v="1"/>
    <n v="7.5900000000000016"/>
    <n v="3644.9"/>
    <x v="681"/>
  </r>
  <r>
    <s v="PRD-1684"/>
    <x v="8"/>
    <x v="2"/>
    <x v="0"/>
    <n v="19.809999999999999"/>
    <n v="36.130000000000003"/>
    <n v="356"/>
    <x v="88"/>
    <n v="119"/>
    <n v="84"/>
    <x v="1"/>
    <n v="16.320000000000004"/>
    <n v="8562.8100000000013"/>
    <x v="682"/>
  </r>
  <r>
    <s v="PRD-1685"/>
    <x v="17"/>
    <x v="1"/>
    <x v="4"/>
    <n v="9.89"/>
    <n v="20.11"/>
    <n v="494"/>
    <x v="204"/>
    <n v="290"/>
    <n v="89"/>
    <x v="1"/>
    <n v="10.219999999999999"/>
    <n v="4102.4399999999996"/>
    <x v="683"/>
  </r>
  <r>
    <s v="PRD-1686"/>
    <x v="16"/>
    <x v="0"/>
    <x v="0"/>
    <n v="23.36"/>
    <n v="31.68"/>
    <n v="89"/>
    <x v="90"/>
    <n v="62"/>
    <n v="19"/>
    <x v="1"/>
    <n v="8.32"/>
    <n v="855.36"/>
    <x v="684"/>
  </r>
  <r>
    <s v="PRD-1687"/>
    <x v="41"/>
    <x v="2"/>
    <x v="2"/>
    <n v="7.94"/>
    <n v="14.96"/>
    <n v="153"/>
    <x v="59"/>
    <n v="49"/>
    <n v="20"/>
    <x v="1"/>
    <n v="7.0200000000000005"/>
    <n v="1555.8400000000001"/>
    <x v="685"/>
  </r>
  <r>
    <s v="PRD-1688"/>
    <x v="51"/>
    <x v="5"/>
    <x v="8"/>
    <n v="9.7899999999999991"/>
    <n v="20.59"/>
    <n v="449"/>
    <x v="40"/>
    <n v="206"/>
    <n v="110"/>
    <x v="1"/>
    <n v="10.8"/>
    <n v="5003.37"/>
    <x v="686"/>
  </r>
  <r>
    <s v="PRD-1689"/>
    <x v="71"/>
    <x v="0"/>
    <x v="8"/>
    <n v="16.72"/>
    <n v="36.22"/>
    <n v="27"/>
    <x v="76"/>
    <n v="20"/>
    <n v="6"/>
    <x v="1"/>
    <n v="19.5"/>
    <n v="253.54"/>
    <x v="687"/>
  </r>
  <r>
    <s v="PRD-1690"/>
    <x v="14"/>
    <x v="1"/>
    <x v="3"/>
    <n v="10.029999999999999"/>
    <n v="13.42"/>
    <n v="172"/>
    <x v="83"/>
    <n v="18"/>
    <n v="32"/>
    <x v="0"/>
    <n v="3.3900000000000006"/>
    <n v="2066.6799999999998"/>
    <x v="688"/>
  </r>
  <r>
    <s v="PRD-1691"/>
    <x v="51"/>
    <x v="5"/>
    <x v="6"/>
    <n v="2.0499999999999998"/>
    <n v="4.16"/>
    <n v="196"/>
    <x v="14"/>
    <n v="97"/>
    <n v="22"/>
    <x v="1"/>
    <n v="2.1100000000000003"/>
    <n v="411.84000000000003"/>
    <x v="689"/>
  </r>
  <r>
    <s v="PRD-1692"/>
    <x v="60"/>
    <x v="1"/>
    <x v="5"/>
    <n v="19.22"/>
    <n v="28.86"/>
    <n v="449"/>
    <x v="290"/>
    <n v="71"/>
    <n v="74"/>
    <x v="0"/>
    <n v="9.64"/>
    <n v="10909.08"/>
    <x v="690"/>
  </r>
  <r>
    <s v="PRD-1693"/>
    <x v="10"/>
    <x v="5"/>
    <x v="8"/>
    <n v="13.24"/>
    <n v="24.79"/>
    <n v="87"/>
    <x v="51"/>
    <n v="12"/>
    <n v="16"/>
    <x v="0"/>
    <n v="11.549999999999999"/>
    <n v="1859.25"/>
    <x v="691"/>
  </r>
  <r>
    <s v="PRD-1694"/>
    <x v="26"/>
    <x v="3"/>
    <x v="4"/>
    <n v="24.55"/>
    <n v="36.31"/>
    <n v="151"/>
    <x v="7"/>
    <n v="79"/>
    <n v="28"/>
    <x v="1"/>
    <n v="11.760000000000002"/>
    <n v="2614.3200000000002"/>
    <x v="692"/>
  </r>
  <r>
    <s v="PRD-1695"/>
    <x v="58"/>
    <x v="6"/>
    <x v="4"/>
    <n v="9.0500000000000007"/>
    <n v="16.64"/>
    <n v="426"/>
    <x v="43"/>
    <n v="188"/>
    <n v="53"/>
    <x v="1"/>
    <n v="7.59"/>
    <n v="3960.32"/>
    <x v="693"/>
  </r>
  <r>
    <s v="PRD-1696"/>
    <x v="72"/>
    <x v="6"/>
    <x v="0"/>
    <n v="9.81"/>
    <n v="13.58"/>
    <n v="185"/>
    <x v="91"/>
    <n v="112"/>
    <n v="40"/>
    <x v="1"/>
    <n v="3.7699999999999996"/>
    <n v="991.34"/>
    <x v="694"/>
  </r>
  <r>
    <s v="PRD-1697"/>
    <x v="57"/>
    <x v="6"/>
    <x v="5"/>
    <n v="13.99"/>
    <n v="29.16"/>
    <n v="387"/>
    <x v="279"/>
    <n v="55"/>
    <n v="55"/>
    <x v="0"/>
    <n v="15.17"/>
    <n v="9681.1200000000008"/>
    <x v="695"/>
  </r>
  <r>
    <s v="PRD-1698"/>
    <x v="77"/>
    <x v="7"/>
    <x v="9"/>
    <n v="45.19"/>
    <n v="87.7"/>
    <n v="160"/>
    <x v="201"/>
    <n v="60"/>
    <n v="20"/>
    <x v="1"/>
    <n v="42.510000000000005"/>
    <n v="8770"/>
    <x v="696"/>
  </r>
  <r>
    <s v="PRD-1699"/>
    <x v="38"/>
    <x v="2"/>
    <x v="8"/>
    <n v="8.74"/>
    <n v="18.95"/>
    <n v="21"/>
    <x v="128"/>
    <n v="6"/>
    <n v="3"/>
    <x v="1"/>
    <n v="10.209999999999999"/>
    <n v="284.25"/>
    <x v="697"/>
  </r>
  <r>
    <s v="PRD-1700"/>
    <x v="6"/>
    <x v="0"/>
    <x v="2"/>
    <n v="27.61"/>
    <n v="56.91"/>
    <n v="338"/>
    <x v="228"/>
    <n v="157"/>
    <n v="78"/>
    <x v="1"/>
    <n v="29.299999999999997"/>
    <n v="10300.709999999999"/>
    <x v="698"/>
  </r>
  <r>
    <s v="PRD-1701"/>
    <x v="2"/>
    <x v="2"/>
    <x v="7"/>
    <n v="8.0500000000000007"/>
    <n v="10.7"/>
    <n v="288"/>
    <x v="55"/>
    <n v="251"/>
    <n v="68"/>
    <x v="1"/>
    <n v="2.6499999999999986"/>
    <n v="395.9"/>
    <x v="699"/>
  </r>
  <r>
    <s v="PRD-1702"/>
    <x v="2"/>
    <x v="2"/>
    <x v="6"/>
    <n v="15.07"/>
    <n v="27.59"/>
    <n v="223"/>
    <x v="110"/>
    <n v="153"/>
    <n v="32"/>
    <x v="1"/>
    <n v="12.52"/>
    <n v="1931.3"/>
    <x v="700"/>
  </r>
  <r>
    <s v="PRD-1703"/>
    <x v="54"/>
    <x v="6"/>
    <x v="3"/>
    <n v="6.9"/>
    <n v="10.14"/>
    <n v="205"/>
    <x v="238"/>
    <n v="98"/>
    <n v="21"/>
    <x v="1"/>
    <n v="3.24"/>
    <n v="1084.98"/>
    <x v="701"/>
  </r>
  <r>
    <s v="PRD-1704"/>
    <x v="61"/>
    <x v="0"/>
    <x v="6"/>
    <n v="26.38"/>
    <n v="49.78"/>
    <n v="33"/>
    <x v="266"/>
    <n v="5"/>
    <n v="8"/>
    <x v="0"/>
    <n v="23.400000000000002"/>
    <n v="1393.8400000000001"/>
    <x v="702"/>
  </r>
  <r>
    <s v="PRD-1705"/>
    <x v="44"/>
    <x v="1"/>
    <x v="7"/>
    <n v="17.53"/>
    <n v="35.6"/>
    <n v="238"/>
    <x v="33"/>
    <n v="82"/>
    <n v="27"/>
    <x v="1"/>
    <n v="18.07"/>
    <n v="5553.6"/>
    <x v="703"/>
  </r>
  <r>
    <s v="PRD-1706"/>
    <x v="49"/>
    <x v="6"/>
    <x v="7"/>
    <n v="24.03"/>
    <n v="45.7"/>
    <n v="249"/>
    <x v="115"/>
    <n v="203"/>
    <n v="27"/>
    <x v="1"/>
    <n v="21.67"/>
    <n v="2102.2000000000003"/>
    <x v="704"/>
  </r>
  <r>
    <s v="PRD-1707"/>
    <x v="3"/>
    <x v="3"/>
    <x v="7"/>
    <n v="16.329999999999998"/>
    <n v="34.049999999999997"/>
    <n v="410"/>
    <x v="196"/>
    <n v="179"/>
    <n v="84"/>
    <x v="1"/>
    <n v="17.72"/>
    <n v="7865.5499999999993"/>
    <x v="705"/>
  </r>
  <r>
    <s v="PRD-1708"/>
    <x v="16"/>
    <x v="0"/>
    <x v="4"/>
    <n v="27.91"/>
    <n v="49.2"/>
    <n v="204"/>
    <x v="268"/>
    <n v="15"/>
    <n v="44"/>
    <x v="0"/>
    <n v="21.290000000000003"/>
    <n v="9298.8000000000011"/>
    <x v="706"/>
  </r>
  <r>
    <s v="PRD-1709"/>
    <x v="45"/>
    <x v="5"/>
    <x v="1"/>
    <n v="11.65"/>
    <n v="17.55"/>
    <n v="332"/>
    <x v="155"/>
    <n v="147"/>
    <n v="53"/>
    <x v="1"/>
    <n v="5.9"/>
    <n v="3246.75"/>
    <x v="707"/>
  </r>
  <r>
    <s v="PRD-1710"/>
    <x v="18"/>
    <x v="1"/>
    <x v="4"/>
    <n v="8.93"/>
    <n v="16.55"/>
    <n v="35"/>
    <x v="114"/>
    <n v="6"/>
    <n v="3"/>
    <x v="1"/>
    <n v="7.620000000000001"/>
    <n v="479.95000000000005"/>
    <x v="708"/>
  </r>
  <r>
    <s v="PRD-1711"/>
    <x v="38"/>
    <x v="2"/>
    <x v="7"/>
    <n v="17.79"/>
    <n v="38.39"/>
    <n v="195"/>
    <x v="115"/>
    <n v="149"/>
    <n v="26"/>
    <x v="1"/>
    <n v="20.6"/>
    <n v="1765.94"/>
    <x v="709"/>
  </r>
  <r>
    <s v="PRD-1712"/>
    <x v="10"/>
    <x v="5"/>
    <x v="2"/>
    <n v="1.8"/>
    <n v="2.76"/>
    <n v="233"/>
    <x v="61"/>
    <n v="175"/>
    <n v="32"/>
    <x v="1"/>
    <n v="0.95999999999999974"/>
    <n v="160.07999999999998"/>
    <x v="710"/>
  </r>
  <r>
    <s v="PRD-1713"/>
    <x v="55"/>
    <x v="1"/>
    <x v="0"/>
    <n v="7.63"/>
    <n v="14.27"/>
    <n v="315"/>
    <x v="85"/>
    <n v="39"/>
    <n v="45"/>
    <x v="0"/>
    <n v="6.64"/>
    <n v="3938.52"/>
    <x v="711"/>
  </r>
  <r>
    <s v="PRD-1714"/>
    <x v="43"/>
    <x v="7"/>
    <x v="8"/>
    <n v="59.31"/>
    <n v="126.14"/>
    <n v="228"/>
    <x v="193"/>
    <n v="167"/>
    <n v="35"/>
    <x v="1"/>
    <n v="66.83"/>
    <n v="7694.54"/>
    <x v="712"/>
  </r>
  <r>
    <s v="PRD-1715"/>
    <x v="5"/>
    <x v="4"/>
    <x v="1"/>
    <n v="9.27"/>
    <n v="17.82"/>
    <n v="207"/>
    <x v="154"/>
    <n v="176"/>
    <n v="29"/>
    <x v="1"/>
    <n v="8.5500000000000007"/>
    <n v="552.41999999999996"/>
    <x v="713"/>
  </r>
  <r>
    <s v="PRD-1716"/>
    <x v="10"/>
    <x v="5"/>
    <x v="4"/>
    <n v="7.97"/>
    <n v="14.28"/>
    <n v="348"/>
    <x v="213"/>
    <n v="49"/>
    <n v="82"/>
    <x v="0"/>
    <n v="6.31"/>
    <n v="4269.72"/>
    <x v="714"/>
  </r>
  <r>
    <s v="PRD-1717"/>
    <x v="51"/>
    <x v="5"/>
    <x v="7"/>
    <n v="9.33"/>
    <n v="18"/>
    <n v="55"/>
    <x v="90"/>
    <n v="28"/>
    <n v="6"/>
    <x v="1"/>
    <n v="8.67"/>
    <n v="486"/>
    <x v="715"/>
  </r>
  <r>
    <s v="PRD-1718"/>
    <x v="3"/>
    <x v="3"/>
    <x v="8"/>
    <n v="14.88"/>
    <n v="31.44"/>
    <n v="399"/>
    <x v="224"/>
    <n v="114"/>
    <n v="57"/>
    <x v="1"/>
    <n v="16.560000000000002"/>
    <n v="8960.4"/>
    <x v="716"/>
  </r>
  <r>
    <s v="PRD-1719"/>
    <x v="48"/>
    <x v="5"/>
    <x v="2"/>
    <n v="12.81"/>
    <n v="24.49"/>
    <n v="261"/>
    <x v="28"/>
    <n v="147"/>
    <n v="41"/>
    <x v="1"/>
    <n v="11.679999999999998"/>
    <n v="2791.8599999999997"/>
    <x v="717"/>
  </r>
  <r>
    <s v="PRD-1720"/>
    <x v="42"/>
    <x v="6"/>
    <x v="0"/>
    <n v="19.309999999999999"/>
    <n v="40.04"/>
    <n v="185"/>
    <x v="100"/>
    <n v="95"/>
    <n v="32"/>
    <x v="1"/>
    <n v="20.73"/>
    <n v="3603.6"/>
    <x v="718"/>
  </r>
  <r>
    <s v="PRD-1721"/>
    <x v="4"/>
    <x v="0"/>
    <x v="8"/>
    <n v="7.31"/>
    <n v="12.35"/>
    <n v="32"/>
    <x v="248"/>
    <n v="20"/>
    <n v="3"/>
    <x v="1"/>
    <n v="5.04"/>
    <n v="148.19999999999999"/>
    <x v="719"/>
  </r>
  <r>
    <s v="PRD-1722"/>
    <x v="19"/>
    <x v="2"/>
    <x v="4"/>
    <n v="1.38"/>
    <n v="2.68"/>
    <n v="489"/>
    <x v="291"/>
    <n v="26"/>
    <n v="95"/>
    <x v="0"/>
    <n v="1.3000000000000003"/>
    <n v="1240.8400000000001"/>
    <x v="720"/>
  </r>
  <r>
    <s v="PRD-1723"/>
    <x v="45"/>
    <x v="5"/>
    <x v="5"/>
    <n v="10.67"/>
    <n v="21.89"/>
    <n v="298"/>
    <x v="196"/>
    <n v="67"/>
    <n v="29"/>
    <x v="1"/>
    <n v="11.22"/>
    <n v="5056.59"/>
    <x v="721"/>
  </r>
  <r>
    <s v="PRD-1724"/>
    <x v="72"/>
    <x v="6"/>
    <x v="0"/>
    <n v="18.22"/>
    <n v="32.07"/>
    <n v="229"/>
    <x v="183"/>
    <n v="175"/>
    <n v="34"/>
    <x v="1"/>
    <n v="13.850000000000001"/>
    <n v="1731.78"/>
    <x v="722"/>
  </r>
  <r>
    <s v="PRD-1725"/>
    <x v="41"/>
    <x v="2"/>
    <x v="4"/>
    <n v="9.9"/>
    <n v="14.34"/>
    <n v="372"/>
    <x v="236"/>
    <n v="298"/>
    <n v="57"/>
    <x v="1"/>
    <n v="4.4399999999999995"/>
    <n v="1061.1600000000001"/>
    <x v="723"/>
  </r>
  <r>
    <s v="PRD-1726"/>
    <x v="21"/>
    <x v="2"/>
    <x v="8"/>
    <n v="9.44"/>
    <n v="15.12"/>
    <n v="325"/>
    <x v="228"/>
    <n v="144"/>
    <n v="58"/>
    <x v="1"/>
    <n v="5.68"/>
    <n v="2736.72"/>
    <x v="724"/>
  </r>
  <r>
    <s v="PRD-1727"/>
    <x v="20"/>
    <x v="3"/>
    <x v="1"/>
    <n v="17.190000000000001"/>
    <n v="28.61"/>
    <n v="388"/>
    <x v="292"/>
    <n v="247"/>
    <n v="62"/>
    <x v="1"/>
    <n v="11.419999999999998"/>
    <n v="4034.0099999999998"/>
    <x v="725"/>
  </r>
  <r>
    <s v="PRD-1728"/>
    <x v="26"/>
    <x v="3"/>
    <x v="2"/>
    <n v="24.6"/>
    <n v="46.22"/>
    <n v="371"/>
    <x v="73"/>
    <n v="255"/>
    <n v="88"/>
    <x v="1"/>
    <n v="21.619999999999997"/>
    <n v="5361.5199999999995"/>
    <x v="726"/>
  </r>
  <r>
    <s v="PRD-1729"/>
    <x v="3"/>
    <x v="3"/>
    <x v="0"/>
    <n v="3.69"/>
    <n v="6.65"/>
    <n v="367"/>
    <x v="293"/>
    <n v="67"/>
    <n v="88"/>
    <x v="0"/>
    <n v="2.9600000000000004"/>
    <n v="1995"/>
    <x v="727"/>
  </r>
  <r>
    <s v="PRD-1730"/>
    <x v="51"/>
    <x v="5"/>
    <x v="0"/>
    <n v="14.44"/>
    <n v="26.13"/>
    <n v="103"/>
    <x v="184"/>
    <n v="22"/>
    <n v="18"/>
    <x v="1"/>
    <n v="11.69"/>
    <n v="2116.5299999999997"/>
    <x v="728"/>
  </r>
  <r>
    <s v="PRD-1731"/>
    <x v="16"/>
    <x v="0"/>
    <x v="0"/>
    <n v="22.05"/>
    <n v="47.79"/>
    <n v="248"/>
    <x v="150"/>
    <n v="124"/>
    <n v="56"/>
    <x v="1"/>
    <n v="25.74"/>
    <n v="5925.96"/>
    <x v="729"/>
  </r>
  <r>
    <s v="PRD-1732"/>
    <x v="79"/>
    <x v="4"/>
    <x v="8"/>
    <n v="9.58"/>
    <n v="14.39"/>
    <n v="390"/>
    <x v="294"/>
    <n v="47"/>
    <n v="57"/>
    <x v="0"/>
    <n v="4.8100000000000005"/>
    <n v="4935.7700000000004"/>
    <x v="730"/>
  </r>
  <r>
    <s v="PRD-1733"/>
    <x v="45"/>
    <x v="5"/>
    <x v="1"/>
    <n v="12.96"/>
    <n v="23.87"/>
    <n v="398"/>
    <x v="210"/>
    <n v="349"/>
    <n v="82"/>
    <x v="1"/>
    <n v="10.91"/>
    <n v="1169.6300000000001"/>
    <x v="731"/>
  </r>
  <r>
    <s v="PRD-1734"/>
    <x v="15"/>
    <x v="5"/>
    <x v="2"/>
    <n v="5.99"/>
    <n v="8.01"/>
    <n v="384"/>
    <x v="273"/>
    <n v="263"/>
    <n v="74"/>
    <x v="1"/>
    <n v="2.0199999999999996"/>
    <n v="969.20999999999992"/>
    <x v="732"/>
  </r>
  <r>
    <s v="PRD-1735"/>
    <x v="29"/>
    <x v="3"/>
    <x v="2"/>
    <n v="13.53"/>
    <n v="22.63"/>
    <n v="202"/>
    <x v="97"/>
    <n v="139"/>
    <n v="32"/>
    <x v="1"/>
    <n v="9.1"/>
    <n v="1425.6899999999998"/>
    <x v="310"/>
  </r>
  <r>
    <s v="PRD-1736"/>
    <x v="74"/>
    <x v="0"/>
    <x v="1"/>
    <n v="21.76"/>
    <n v="29.34"/>
    <n v="431"/>
    <x v="54"/>
    <n v="273"/>
    <n v="100"/>
    <x v="1"/>
    <n v="7.5799999999999983"/>
    <n v="4635.72"/>
    <x v="733"/>
  </r>
  <r>
    <s v="PRD-1737"/>
    <x v="78"/>
    <x v="1"/>
    <x v="4"/>
    <n v="18.68"/>
    <n v="34.57"/>
    <n v="494"/>
    <x v="295"/>
    <n v="190"/>
    <n v="87"/>
    <x v="1"/>
    <n v="15.89"/>
    <n v="10509.28"/>
    <x v="734"/>
  </r>
  <r>
    <s v="PRD-1738"/>
    <x v="18"/>
    <x v="1"/>
    <x v="2"/>
    <n v="6.31"/>
    <n v="9.4700000000000006"/>
    <n v="179"/>
    <x v="5"/>
    <n v="127"/>
    <n v="20"/>
    <x v="1"/>
    <n v="3.160000000000001"/>
    <n v="492.44000000000005"/>
    <x v="735"/>
  </r>
  <r>
    <s v="PRD-1739"/>
    <x v="45"/>
    <x v="5"/>
    <x v="0"/>
    <n v="4.68"/>
    <n v="10.25"/>
    <n v="223"/>
    <x v="55"/>
    <n v="186"/>
    <n v="24"/>
    <x v="1"/>
    <n v="5.57"/>
    <n v="379.25"/>
    <x v="736"/>
  </r>
  <r>
    <s v="PRD-1740"/>
    <x v="40"/>
    <x v="7"/>
    <x v="3"/>
    <n v="61.08"/>
    <n v="120.91"/>
    <n v="49"/>
    <x v="90"/>
    <n v="22"/>
    <n v="7"/>
    <x v="1"/>
    <n v="59.83"/>
    <n v="3264.5699999999997"/>
    <x v="737"/>
  </r>
  <r>
    <s v="PRD-1741"/>
    <x v="70"/>
    <x v="3"/>
    <x v="8"/>
    <n v="5"/>
    <n v="7.55"/>
    <n v="329"/>
    <x v="137"/>
    <n v="19"/>
    <n v="33"/>
    <x v="0"/>
    <n v="2.5499999999999998"/>
    <n v="2340.5"/>
    <x v="738"/>
  </r>
  <r>
    <s v="PRD-1742"/>
    <x v="73"/>
    <x v="5"/>
    <x v="9"/>
    <n v="7.44"/>
    <n v="12.36"/>
    <n v="305"/>
    <x v="77"/>
    <n v="257"/>
    <n v="62"/>
    <x v="1"/>
    <n v="4.919999999999999"/>
    <n v="593.28"/>
    <x v="739"/>
  </r>
  <r>
    <s v="PRD-1743"/>
    <x v="22"/>
    <x v="3"/>
    <x v="4"/>
    <n v="24.78"/>
    <n v="37.65"/>
    <n v="409"/>
    <x v="212"/>
    <n v="79"/>
    <n v="86"/>
    <x v="0"/>
    <n v="12.869999999999997"/>
    <n v="12424.5"/>
    <x v="740"/>
  </r>
  <r>
    <s v="PRD-1744"/>
    <x v="44"/>
    <x v="1"/>
    <x v="3"/>
    <n v="2.1800000000000002"/>
    <n v="4.37"/>
    <n v="125"/>
    <x v="10"/>
    <n v="42"/>
    <n v="13"/>
    <x v="1"/>
    <n v="2.19"/>
    <n v="362.71000000000004"/>
    <x v="741"/>
  </r>
  <r>
    <s v="PRD-1745"/>
    <x v="11"/>
    <x v="4"/>
    <x v="9"/>
    <n v="11.36"/>
    <n v="19.260000000000002"/>
    <n v="188"/>
    <x v="37"/>
    <n v="163"/>
    <n v="40"/>
    <x v="1"/>
    <n v="7.9000000000000021"/>
    <n v="481.50000000000006"/>
    <x v="742"/>
  </r>
  <r>
    <s v="PRD-1746"/>
    <x v="29"/>
    <x v="3"/>
    <x v="6"/>
    <n v="23.46"/>
    <n v="45.14"/>
    <n v="28"/>
    <x v="296"/>
    <n v="24"/>
    <n v="4"/>
    <x v="1"/>
    <n v="21.68"/>
    <n v="180.56"/>
    <x v="743"/>
  </r>
  <r>
    <s v="PRD-1747"/>
    <x v="17"/>
    <x v="1"/>
    <x v="0"/>
    <n v="4.0599999999999996"/>
    <n v="5.53"/>
    <n v="28"/>
    <x v="22"/>
    <n v="6"/>
    <n v="3"/>
    <x v="1"/>
    <n v="1.4700000000000006"/>
    <n v="121.66000000000001"/>
    <x v="744"/>
  </r>
  <r>
    <s v="PRD-1748"/>
    <x v="17"/>
    <x v="1"/>
    <x v="4"/>
    <n v="18.2"/>
    <n v="30.52"/>
    <n v="467"/>
    <x v="247"/>
    <n v="149"/>
    <n v="75"/>
    <x v="1"/>
    <n v="12.32"/>
    <n v="9705.36"/>
    <x v="745"/>
  </r>
  <r>
    <s v="PRD-1749"/>
    <x v="78"/>
    <x v="1"/>
    <x v="0"/>
    <n v="10.3"/>
    <n v="18.32"/>
    <n v="481"/>
    <x v="7"/>
    <n v="409"/>
    <n v="69"/>
    <x v="1"/>
    <n v="8.02"/>
    <n v="1319.04"/>
    <x v="746"/>
  </r>
  <r>
    <s v="PRD-1750"/>
    <x v="34"/>
    <x v="4"/>
    <x v="5"/>
    <n v="9.1199999999999992"/>
    <n v="12.23"/>
    <n v="419"/>
    <x v="95"/>
    <n v="220"/>
    <n v="47"/>
    <x v="1"/>
    <n v="3.1100000000000012"/>
    <n v="2433.77"/>
    <x v="747"/>
  </r>
  <r>
    <s v="PRD-1751"/>
    <x v="51"/>
    <x v="5"/>
    <x v="2"/>
    <n v="14.93"/>
    <n v="28.54"/>
    <n v="394"/>
    <x v="297"/>
    <n v="52"/>
    <n v="45"/>
    <x v="1"/>
    <n v="13.61"/>
    <n v="9760.68"/>
    <x v="748"/>
  </r>
  <r>
    <s v="PRD-1752"/>
    <x v="13"/>
    <x v="2"/>
    <x v="0"/>
    <n v="17.829999999999998"/>
    <n v="35.590000000000003"/>
    <n v="293"/>
    <x v="172"/>
    <n v="124"/>
    <n v="46"/>
    <x v="1"/>
    <n v="17.760000000000005"/>
    <n v="6014.7100000000009"/>
    <x v="749"/>
  </r>
  <r>
    <s v="PRD-1753"/>
    <x v="63"/>
    <x v="2"/>
    <x v="9"/>
    <n v="13.91"/>
    <n v="19.829999999999998"/>
    <n v="306"/>
    <x v="149"/>
    <n v="64"/>
    <n v="73"/>
    <x v="0"/>
    <n v="5.9199999999999982"/>
    <n v="4798.8599999999997"/>
    <x v="750"/>
  </r>
  <r>
    <s v="PRD-1754"/>
    <x v="56"/>
    <x v="7"/>
    <x v="7"/>
    <n v="13.25"/>
    <n v="19.98"/>
    <n v="40"/>
    <x v="79"/>
    <n v="23"/>
    <n v="5"/>
    <x v="1"/>
    <n v="6.73"/>
    <n v="339.66"/>
    <x v="751"/>
  </r>
  <r>
    <s v="PRD-1755"/>
    <x v="19"/>
    <x v="2"/>
    <x v="5"/>
    <n v="8.8699999999999992"/>
    <n v="16.47"/>
    <n v="69"/>
    <x v="75"/>
    <n v="48"/>
    <n v="17"/>
    <x v="1"/>
    <n v="7.6"/>
    <n v="345.87"/>
    <x v="752"/>
  </r>
  <r>
    <s v="PRD-1756"/>
    <x v="5"/>
    <x v="4"/>
    <x v="9"/>
    <n v="1.08"/>
    <n v="2.17"/>
    <n v="146"/>
    <x v="17"/>
    <n v="105"/>
    <n v="22"/>
    <x v="1"/>
    <n v="1.0899999999999999"/>
    <n v="88.97"/>
    <x v="753"/>
  </r>
  <r>
    <s v="PRD-1757"/>
    <x v="29"/>
    <x v="3"/>
    <x v="8"/>
    <n v="13.33"/>
    <n v="19.98"/>
    <n v="328"/>
    <x v="87"/>
    <n v="151"/>
    <n v="77"/>
    <x v="1"/>
    <n v="6.65"/>
    <n v="3536.46"/>
    <x v="754"/>
  </r>
  <r>
    <s v="PRD-1758"/>
    <x v="79"/>
    <x v="4"/>
    <x v="1"/>
    <n v="6.44"/>
    <n v="13.31"/>
    <n v="218"/>
    <x v="131"/>
    <n v="184"/>
    <n v="35"/>
    <x v="1"/>
    <n v="6.87"/>
    <n v="452.54"/>
    <x v="755"/>
  </r>
  <r>
    <s v="PRD-1759"/>
    <x v="12"/>
    <x v="6"/>
    <x v="0"/>
    <n v="23.68"/>
    <n v="46.94"/>
    <n v="143"/>
    <x v="126"/>
    <n v="59"/>
    <n v="21"/>
    <x v="1"/>
    <n v="23.259999999999998"/>
    <n v="3942.96"/>
    <x v="756"/>
  </r>
  <r>
    <s v="PRD-1760"/>
    <x v="55"/>
    <x v="1"/>
    <x v="6"/>
    <n v="10.93"/>
    <n v="16.350000000000001"/>
    <n v="457"/>
    <x v="231"/>
    <n v="209"/>
    <n v="47"/>
    <x v="1"/>
    <n v="5.4200000000000017"/>
    <n v="4054.8"/>
    <x v="757"/>
  </r>
  <r>
    <s v="PRD-1761"/>
    <x v="17"/>
    <x v="1"/>
    <x v="4"/>
    <n v="8.59"/>
    <n v="11.65"/>
    <n v="382"/>
    <x v="298"/>
    <n v="69"/>
    <n v="61"/>
    <x v="1"/>
    <n v="3.0600000000000005"/>
    <n v="3646.4500000000003"/>
    <x v="758"/>
  </r>
  <r>
    <s v="PRD-1762"/>
    <x v="53"/>
    <x v="7"/>
    <x v="2"/>
    <n v="29.32"/>
    <n v="47.09"/>
    <n v="247"/>
    <x v="180"/>
    <n v="108"/>
    <n v="29"/>
    <x v="1"/>
    <n v="17.770000000000003"/>
    <n v="6545.51"/>
    <x v="759"/>
  </r>
  <r>
    <s v="PRD-1763"/>
    <x v="0"/>
    <x v="0"/>
    <x v="0"/>
    <n v="2.9"/>
    <n v="4.55"/>
    <n v="392"/>
    <x v="210"/>
    <n v="343"/>
    <n v="65"/>
    <x v="1"/>
    <n v="1.65"/>
    <n v="222.95"/>
    <x v="760"/>
  </r>
  <r>
    <s v="PRD-1764"/>
    <x v="18"/>
    <x v="1"/>
    <x v="2"/>
    <n v="2.63"/>
    <n v="5"/>
    <n v="104"/>
    <x v="94"/>
    <n v="68"/>
    <n v="18"/>
    <x v="1"/>
    <n v="2.37"/>
    <n v="180"/>
    <x v="761"/>
  </r>
  <r>
    <s v="PRD-1765"/>
    <x v="49"/>
    <x v="6"/>
    <x v="0"/>
    <n v="33.29"/>
    <n v="51.54"/>
    <n v="427"/>
    <x v="299"/>
    <n v="51"/>
    <n v="69"/>
    <x v="0"/>
    <n v="18.25"/>
    <n v="19379.04"/>
    <x v="762"/>
  </r>
  <r>
    <s v="PRD-1766"/>
    <x v="70"/>
    <x v="3"/>
    <x v="9"/>
    <n v="9.68"/>
    <n v="20.88"/>
    <n v="270"/>
    <x v="196"/>
    <n v="39"/>
    <n v="47"/>
    <x v="0"/>
    <n v="11.2"/>
    <n v="4823.28"/>
    <x v="763"/>
  </r>
  <r>
    <s v="PRD-1767"/>
    <x v="78"/>
    <x v="1"/>
    <x v="5"/>
    <n v="6.26"/>
    <n v="12.45"/>
    <n v="240"/>
    <x v="220"/>
    <n v="174"/>
    <n v="44"/>
    <x v="1"/>
    <n v="6.1899999999999995"/>
    <n v="821.69999999999993"/>
    <x v="764"/>
  </r>
  <r>
    <s v="PRD-1768"/>
    <x v="38"/>
    <x v="2"/>
    <x v="3"/>
    <n v="17.22"/>
    <n v="31.03"/>
    <n v="256"/>
    <x v="20"/>
    <n v="165"/>
    <n v="40"/>
    <x v="1"/>
    <n v="13.810000000000002"/>
    <n v="2823.73"/>
    <x v="765"/>
  </r>
  <r>
    <s v="PRD-1769"/>
    <x v="42"/>
    <x v="6"/>
    <x v="9"/>
    <n v="18.16"/>
    <n v="36.76"/>
    <n v="72"/>
    <x v="66"/>
    <n v="46"/>
    <n v="16"/>
    <x v="1"/>
    <n v="18.599999999999998"/>
    <n v="955.76"/>
    <x v="766"/>
  </r>
  <r>
    <s v="PRD-1770"/>
    <x v="9"/>
    <x v="0"/>
    <x v="2"/>
    <n v="9.6"/>
    <n v="19.190000000000001"/>
    <n v="318"/>
    <x v="61"/>
    <n v="260"/>
    <n v="32"/>
    <x v="1"/>
    <n v="9.5900000000000016"/>
    <n v="1113.02"/>
    <x v="767"/>
  </r>
  <r>
    <s v="PRD-1771"/>
    <x v="21"/>
    <x v="2"/>
    <x v="8"/>
    <n v="19.399999999999999"/>
    <n v="25.52"/>
    <n v="201"/>
    <x v="77"/>
    <n v="153"/>
    <n v="44"/>
    <x v="1"/>
    <n v="6.120000000000001"/>
    <n v="1224.96"/>
    <x v="768"/>
  </r>
  <r>
    <s v="PRD-1772"/>
    <x v="55"/>
    <x v="1"/>
    <x v="5"/>
    <n v="8.86"/>
    <n v="12.62"/>
    <n v="44"/>
    <x v="128"/>
    <n v="29"/>
    <n v="7"/>
    <x v="1"/>
    <n v="3.76"/>
    <n v="189.29999999999998"/>
    <x v="769"/>
  </r>
  <r>
    <s v="PRD-1773"/>
    <x v="45"/>
    <x v="5"/>
    <x v="2"/>
    <n v="13.59"/>
    <n v="28.91"/>
    <n v="492"/>
    <x v="141"/>
    <n v="423"/>
    <n v="97"/>
    <x v="1"/>
    <n v="15.32"/>
    <n v="1994.79"/>
    <x v="770"/>
  </r>
  <r>
    <s v="PRD-1774"/>
    <x v="6"/>
    <x v="0"/>
    <x v="3"/>
    <n v="4.63"/>
    <n v="9.0399999999999991"/>
    <n v="307"/>
    <x v="97"/>
    <n v="244"/>
    <n v="53"/>
    <x v="1"/>
    <n v="4.4099999999999993"/>
    <n v="569.52"/>
    <x v="771"/>
  </r>
  <r>
    <s v="PRD-1775"/>
    <x v="26"/>
    <x v="3"/>
    <x v="9"/>
    <n v="14.41"/>
    <n v="21.81"/>
    <n v="432"/>
    <x v="133"/>
    <n v="242"/>
    <n v="56"/>
    <x v="1"/>
    <n v="7.3999999999999986"/>
    <n v="4143.8999999999996"/>
    <x v="772"/>
  </r>
  <r>
    <s v="PRD-1776"/>
    <x v="17"/>
    <x v="1"/>
    <x v="4"/>
    <n v="11.65"/>
    <n v="20.25"/>
    <n v="411"/>
    <x v="300"/>
    <n v="48"/>
    <n v="48"/>
    <x v="0"/>
    <n v="8.6"/>
    <n v="7350.75"/>
    <x v="773"/>
  </r>
  <r>
    <s v="PRD-1777"/>
    <x v="38"/>
    <x v="2"/>
    <x v="3"/>
    <n v="22.38"/>
    <n v="33.46"/>
    <n v="112"/>
    <x v="110"/>
    <n v="42"/>
    <n v="17"/>
    <x v="1"/>
    <n v="11.080000000000002"/>
    <n v="2342.2000000000003"/>
    <x v="774"/>
  </r>
  <r>
    <s v="PRD-1778"/>
    <x v="19"/>
    <x v="2"/>
    <x v="8"/>
    <n v="22.2"/>
    <n v="39.729999999999997"/>
    <n v="43"/>
    <x v="94"/>
    <n v="7"/>
    <n v="5"/>
    <x v="1"/>
    <n v="17.529999999999998"/>
    <n v="1430.28"/>
    <x v="775"/>
  </r>
  <r>
    <s v="PRD-1779"/>
    <x v="77"/>
    <x v="7"/>
    <x v="3"/>
    <n v="24.12"/>
    <n v="51.72"/>
    <n v="262"/>
    <x v="251"/>
    <n v="40"/>
    <n v="51"/>
    <x v="0"/>
    <n v="27.599999999999998"/>
    <n v="11481.84"/>
    <x v="776"/>
  </r>
  <r>
    <s v="PRD-1780"/>
    <x v="34"/>
    <x v="4"/>
    <x v="4"/>
    <n v="6.68"/>
    <n v="11.76"/>
    <n v="265"/>
    <x v="301"/>
    <n v="49"/>
    <n v="65"/>
    <x v="0"/>
    <n v="5.08"/>
    <n v="2540.16"/>
    <x v="777"/>
  </r>
  <r>
    <s v="PRD-1781"/>
    <x v="5"/>
    <x v="4"/>
    <x v="3"/>
    <n v="8.3800000000000008"/>
    <n v="15.61"/>
    <n v="360"/>
    <x v="284"/>
    <n v="32"/>
    <n v="71"/>
    <x v="0"/>
    <n v="7.2299999999999986"/>
    <n v="5120.08"/>
    <x v="778"/>
  </r>
  <r>
    <s v="PRD-1782"/>
    <x v="0"/>
    <x v="0"/>
    <x v="2"/>
    <n v="26.11"/>
    <n v="52.8"/>
    <n v="179"/>
    <x v="210"/>
    <n v="130"/>
    <n v="37"/>
    <x v="1"/>
    <n v="26.689999999999998"/>
    <n v="2587.1999999999998"/>
    <x v="779"/>
  </r>
  <r>
    <s v="PRD-1783"/>
    <x v="3"/>
    <x v="3"/>
    <x v="6"/>
    <n v="8.69"/>
    <n v="18.8"/>
    <n v="104"/>
    <x v="56"/>
    <n v="93"/>
    <n v="24"/>
    <x v="1"/>
    <n v="10.110000000000001"/>
    <n v="206.8"/>
    <x v="780"/>
  </r>
  <r>
    <s v="PRD-1784"/>
    <x v="1"/>
    <x v="1"/>
    <x v="0"/>
    <n v="16.68"/>
    <n v="35.89"/>
    <n v="323"/>
    <x v="217"/>
    <n v="115"/>
    <n v="39"/>
    <x v="1"/>
    <n v="19.21"/>
    <n v="7465.12"/>
    <x v="781"/>
  </r>
  <r>
    <s v="PRD-1785"/>
    <x v="79"/>
    <x v="4"/>
    <x v="2"/>
    <n v="2.46"/>
    <n v="4.08"/>
    <n v="396"/>
    <x v="268"/>
    <n v="207"/>
    <n v="40"/>
    <x v="1"/>
    <n v="1.62"/>
    <n v="771.12"/>
    <x v="782"/>
  </r>
  <r>
    <s v="PRD-1786"/>
    <x v="75"/>
    <x v="3"/>
    <x v="4"/>
    <n v="10.96"/>
    <n v="23.12"/>
    <n v="295"/>
    <x v="230"/>
    <n v="29"/>
    <n v="34"/>
    <x v="0"/>
    <n v="12.16"/>
    <n v="6149.92"/>
    <x v="783"/>
  </r>
  <r>
    <s v="PRD-1787"/>
    <x v="12"/>
    <x v="6"/>
    <x v="6"/>
    <n v="21.01"/>
    <n v="36.229999999999997"/>
    <n v="20"/>
    <x v="285"/>
    <n v="7"/>
    <n v="3"/>
    <x v="1"/>
    <n v="15.219999999999995"/>
    <n v="470.98999999999995"/>
    <x v="784"/>
  </r>
  <r>
    <s v="PRD-1788"/>
    <x v="34"/>
    <x v="4"/>
    <x v="5"/>
    <n v="2.85"/>
    <n v="4.62"/>
    <n v="228"/>
    <x v="260"/>
    <n v="41"/>
    <n v="25"/>
    <x v="1"/>
    <n v="1.77"/>
    <n v="863.94"/>
    <x v="785"/>
  </r>
  <r>
    <s v="PRD-1789"/>
    <x v="30"/>
    <x v="4"/>
    <x v="9"/>
    <n v="9.8699999999999992"/>
    <n v="13.86"/>
    <n v="466"/>
    <x v="244"/>
    <n v="51"/>
    <n v="101"/>
    <x v="0"/>
    <n v="3.99"/>
    <n v="5751.9"/>
    <x v="786"/>
  </r>
  <r>
    <s v="PRD-1790"/>
    <x v="59"/>
    <x v="0"/>
    <x v="1"/>
    <n v="29.22"/>
    <n v="39.61"/>
    <n v="337"/>
    <x v="85"/>
    <n v="61"/>
    <n v="73"/>
    <x v="0"/>
    <n v="10.39"/>
    <n v="10932.36"/>
    <x v="787"/>
  </r>
  <r>
    <s v="PRD-1791"/>
    <x v="45"/>
    <x v="5"/>
    <x v="9"/>
    <n v="9.91"/>
    <n v="21.53"/>
    <n v="201"/>
    <x v="115"/>
    <n v="155"/>
    <n v="34"/>
    <x v="1"/>
    <n v="11.620000000000001"/>
    <n v="990.38000000000011"/>
    <x v="788"/>
  </r>
  <r>
    <s v="PRD-1792"/>
    <x v="61"/>
    <x v="0"/>
    <x v="1"/>
    <n v="12.36"/>
    <n v="17.5"/>
    <n v="471"/>
    <x v="302"/>
    <n v="36"/>
    <n v="93"/>
    <x v="0"/>
    <n v="5.1400000000000006"/>
    <n v="7612.5"/>
    <x v="789"/>
  </r>
  <r>
    <s v="PRD-1793"/>
    <x v="40"/>
    <x v="7"/>
    <x v="3"/>
    <n v="69.400000000000006"/>
    <n v="133.51"/>
    <n v="462"/>
    <x v="303"/>
    <n v="138"/>
    <n v="64"/>
    <x v="1"/>
    <n v="64.109999999999985"/>
    <n v="43257.24"/>
    <x v="790"/>
  </r>
  <r>
    <s v="PRD-1794"/>
    <x v="6"/>
    <x v="0"/>
    <x v="4"/>
    <n v="9.07"/>
    <n v="14.61"/>
    <n v="142"/>
    <x v="20"/>
    <n v="51"/>
    <n v="25"/>
    <x v="1"/>
    <n v="5.5399999999999991"/>
    <n v="1329.51"/>
    <x v="791"/>
  </r>
  <r>
    <s v="PRD-1795"/>
    <x v="3"/>
    <x v="3"/>
    <x v="4"/>
    <n v="21.16"/>
    <n v="32.83"/>
    <n v="482"/>
    <x v="69"/>
    <n v="332"/>
    <n v="108"/>
    <x v="1"/>
    <n v="11.669999999999998"/>
    <n v="4924.5"/>
    <x v="792"/>
  </r>
  <r>
    <s v="PRD-1796"/>
    <x v="8"/>
    <x v="2"/>
    <x v="0"/>
    <n v="10.45"/>
    <n v="18.170000000000002"/>
    <n v="472"/>
    <x v="304"/>
    <n v="247"/>
    <n v="53"/>
    <x v="1"/>
    <n v="7.7200000000000024"/>
    <n v="4088.2500000000005"/>
    <x v="793"/>
  </r>
  <r>
    <s v="PRD-1797"/>
    <x v="28"/>
    <x v="7"/>
    <x v="1"/>
    <n v="11.71"/>
    <n v="19.09"/>
    <n v="405"/>
    <x v="283"/>
    <n v="185"/>
    <n v="76"/>
    <x v="1"/>
    <n v="7.379999999999999"/>
    <n v="4199.8"/>
    <x v="794"/>
  </r>
  <r>
    <s v="PRD-1798"/>
    <x v="16"/>
    <x v="0"/>
    <x v="9"/>
    <n v="2.41"/>
    <n v="4.51"/>
    <n v="391"/>
    <x v="305"/>
    <n v="24"/>
    <n v="70"/>
    <x v="0"/>
    <n v="2.0999999999999996"/>
    <n v="1655.1699999999998"/>
    <x v="795"/>
  </r>
  <r>
    <s v="PRD-1799"/>
    <x v="10"/>
    <x v="5"/>
    <x v="9"/>
    <n v="14.75"/>
    <n v="26.51"/>
    <n v="349"/>
    <x v="272"/>
    <n v="263"/>
    <n v="40"/>
    <x v="1"/>
    <n v="11.760000000000002"/>
    <n v="2279.86"/>
    <x v="796"/>
  </r>
  <r>
    <s v="PRD-1800"/>
    <x v="61"/>
    <x v="0"/>
    <x v="5"/>
    <n v="11.64"/>
    <n v="20.14"/>
    <n v="497"/>
    <x v="111"/>
    <n v="163"/>
    <n v="52"/>
    <x v="1"/>
    <n v="8.5"/>
    <n v="6726.76"/>
    <x v="797"/>
  </r>
  <r>
    <s v="PRD-1801"/>
    <x v="25"/>
    <x v="5"/>
    <x v="5"/>
    <n v="0.66"/>
    <n v="1.28"/>
    <n v="443"/>
    <x v="306"/>
    <n v="183"/>
    <n v="98"/>
    <x v="1"/>
    <n v="0.62"/>
    <n v="332.8"/>
    <x v="798"/>
  </r>
  <r>
    <s v="PRD-1802"/>
    <x v="66"/>
    <x v="3"/>
    <x v="3"/>
    <n v="6.22"/>
    <n v="11.66"/>
    <n v="215"/>
    <x v="138"/>
    <n v="98"/>
    <n v="34"/>
    <x v="1"/>
    <n v="5.44"/>
    <n v="1364.22"/>
    <x v="799"/>
  </r>
  <r>
    <s v="PRD-1803"/>
    <x v="20"/>
    <x v="3"/>
    <x v="7"/>
    <n v="16.27"/>
    <n v="25.13"/>
    <n v="373"/>
    <x v="196"/>
    <n v="142"/>
    <n v="65"/>
    <x v="1"/>
    <n v="8.86"/>
    <n v="5805.03"/>
    <x v="800"/>
  </r>
  <r>
    <s v="PRD-1804"/>
    <x v="56"/>
    <x v="7"/>
    <x v="4"/>
    <n v="38.93"/>
    <n v="84.78"/>
    <n v="220"/>
    <x v="254"/>
    <n v="196"/>
    <n v="39"/>
    <x v="1"/>
    <n v="45.85"/>
    <n v="2034.72"/>
    <x v="801"/>
  </r>
  <r>
    <s v="PRD-1805"/>
    <x v="44"/>
    <x v="1"/>
    <x v="6"/>
    <n v="13.31"/>
    <n v="24.5"/>
    <n v="372"/>
    <x v="166"/>
    <n v="171"/>
    <n v="86"/>
    <x v="1"/>
    <n v="11.19"/>
    <n v="4924.5"/>
    <x v="802"/>
  </r>
  <r>
    <s v="PRD-1806"/>
    <x v="63"/>
    <x v="2"/>
    <x v="3"/>
    <n v="20.79"/>
    <n v="43.84"/>
    <n v="71"/>
    <x v="197"/>
    <n v="14"/>
    <n v="7"/>
    <x v="1"/>
    <n v="23.050000000000004"/>
    <n v="2498.88"/>
    <x v="803"/>
  </r>
  <r>
    <s v="PRD-1807"/>
    <x v="41"/>
    <x v="2"/>
    <x v="8"/>
    <n v="22.82"/>
    <n v="34.700000000000003"/>
    <n v="293"/>
    <x v="252"/>
    <n v="93"/>
    <n v="36"/>
    <x v="1"/>
    <n v="11.880000000000003"/>
    <n v="6940.0000000000009"/>
    <x v="804"/>
  </r>
  <r>
    <s v="PRD-1808"/>
    <x v="34"/>
    <x v="4"/>
    <x v="9"/>
    <n v="2.62"/>
    <n v="5.0199999999999996"/>
    <n v="161"/>
    <x v="281"/>
    <n v="41"/>
    <n v="39"/>
    <x v="1"/>
    <n v="2.3999999999999995"/>
    <n v="602.4"/>
    <x v="805"/>
  </r>
  <r>
    <s v="PRD-1809"/>
    <x v="6"/>
    <x v="0"/>
    <x v="7"/>
    <n v="23.24"/>
    <n v="36.06"/>
    <n v="115"/>
    <x v="57"/>
    <n v="59"/>
    <n v="22"/>
    <x v="1"/>
    <n v="12.820000000000004"/>
    <n v="2019.3600000000001"/>
    <x v="806"/>
  </r>
  <r>
    <s v="PRD-1810"/>
    <x v="5"/>
    <x v="4"/>
    <x v="5"/>
    <n v="2.59"/>
    <n v="5.19"/>
    <n v="305"/>
    <x v="188"/>
    <n v="160"/>
    <n v="74"/>
    <x v="1"/>
    <n v="2.6000000000000005"/>
    <n v="752.55000000000007"/>
    <x v="807"/>
  </r>
  <r>
    <s v="PRD-1811"/>
    <x v="22"/>
    <x v="3"/>
    <x v="3"/>
    <n v="17.03"/>
    <n v="31.5"/>
    <n v="457"/>
    <x v="307"/>
    <n v="29"/>
    <n v="55"/>
    <x v="0"/>
    <n v="14.469999999999999"/>
    <n v="13482"/>
    <x v="808"/>
  </r>
  <r>
    <s v="PRD-1812"/>
    <x v="27"/>
    <x v="7"/>
    <x v="2"/>
    <n v="73.22"/>
    <n v="104.14"/>
    <n v="251"/>
    <x v="58"/>
    <n v="186"/>
    <n v="31"/>
    <x v="1"/>
    <n v="30.92"/>
    <n v="6769.1"/>
    <x v="809"/>
  </r>
  <r>
    <s v="PRD-1813"/>
    <x v="13"/>
    <x v="2"/>
    <x v="8"/>
    <n v="18.2"/>
    <n v="28.44"/>
    <n v="204"/>
    <x v="308"/>
    <n v="16"/>
    <n v="43"/>
    <x v="0"/>
    <n v="10.240000000000002"/>
    <n v="5346.72"/>
    <x v="810"/>
  </r>
  <r>
    <s v="PRD-1814"/>
    <x v="33"/>
    <x v="6"/>
    <x v="5"/>
    <n v="19.190000000000001"/>
    <n v="33.35"/>
    <n v="189"/>
    <x v="309"/>
    <n v="36"/>
    <n v="40"/>
    <x v="0"/>
    <n v="14.16"/>
    <n v="5102.55"/>
    <x v="811"/>
  </r>
  <r>
    <s v="PRD-1815"/>
    <x v="48"/>
    <x v="5"/>
    <x v="9"/>
    <n v="4.8099999999999996"/>
    <n v="9.86"/>
    <n v="379"/>
    <x v="147"/>
    <n v="167"/>
    <n v="55"/>
    <x v="1"/>
    <n v="5.05"/>
    <n v="2090.3199999999997"/>
    <x v="812"/>
  </r>
  <r>
    <s v="PRD-1816"/>
    <x v="47"/>
    <x v="4"/>
    <x v="1"/>
    <n v="5.71"/>
    <n v="10.97"/>
    <n v="304"/>
    <x v="255"/>
    <n v="144"/>
    <n v="46"/>
    <x v="1"/>
    <n v="5.2600000000000007"/>
    <n v="1755.2"/>
    <x v="813"/>
  </r>
  <r>
    <s v="PRD-1817"/>
    <x v="53"/>
    <x v="7"/>
    <x v="2"/>
    <n v="44.31"/>
    <n v="78.209999999999994"/>
    <n v="335"/>
    <x v="115"/>
    <n v="289"/>
    <n v="78"/>
    <x v="1"/>
    <n v="33.899999999999991"/>
    <n v="3597.66"/>
    <x v="814"/>
  </r>
  <r>
    <s v="PRD-1818"/>
    <x v="15"/>
    <x v="5"/>
    <x v="4"/>
    <n v="5.55"/>
    <n v="7.38"/>
    <n v="323"/>
    <x v="33"/>
    <n v="167"/>
    <n v="65"/>
    <x v="1"/>
    <n v="1.83"/>
    <n v="1151.28"/>
    <x v="815"/>
  </r>
  <r>
    <s v="PRD-1819"/>
    <x v="4"/>
    <x v="0"/>
    <x v="0"/>
    <n v="27.93"/>
    <n v="54.07"/>
    <n v="181"/>
    <x v="84"/>
    <n v="33"/>
    <n v="31"/>
    <x v="1"/>
    <n v="26.14"/>
    <n v="8002.36"/>
    <x v="816"/>
  </r>
  <r>
    <s v="PRD-1820"/>
    <x v="76"/>
    <x v="5"/>
    <x v="1"/>
    <n v="7.8"/>
    <n v="13.91"/>
    <n v="25"/>
    <x v="75"/>
    <n v="4"/>
    <n v="2"/>
    <x v="1"/>
    <n v="6.11"/>
    <n v="292.11"/>
    <x v="817"/>
  </r>
  <r>
    <s v="PRD-1821"/>
    <x v="3"/>
    <x v="3"/>
    <x v="1"/>
    <n v="22.1"/>
    <n v="31.97"/>
    <n v="335"/>
    <x v="229"/>
    <n v="255"/>
    <n v="60"/>
    <x v="1"/>
    <n v="9.8699999999999974"/>
    <n v="2557.6"/>
    <x v="818"/>
  </r>
  <r>
    <s v="PRD-1822"/>
    <x v="56"/>
    <x v="7"/>
    <x v="4"/>
    <n v="29.71"/>
    <n v="46.01"/>
    <n v="234"/>
    <x v="255"/>
    <n v="74"/>
    <n v="30"/>
    <x v="1"/>
    <n v="16.299999999999997"/>
    <n v="7361.5999999999995"/>
    <x v="819"/>
  </r>
  <r>
    <s v="PRD-1823"/>
    <x v="53"/>
    <x v="7"/>
    <x v="1"/>
    <n v="23.43"/>
    <n v="37.9"/>
    <n v="112"/>
    <x v="274"/>
    <n v="20"/>
    <n v="17"/>
    <x v="1"/>
    <n v="14.469999999999999"/>
    <n v="3486.7999999999997"/>
    <x v="820"/>
  </r>
  <r>
    <s v="PRD-1824"/>
    <x v="59"/>
    <x v="0"/>
    <x v="8"/>
    <n v="4.43"/>
    <n v="8.51"/>
    <n v="445"/>
    <x v="310"/>
    <n v="247"/>
    <n v="69"/>
    <x v="1"/>
    <n v="4.08"/>
    <n v="1684.98"/>
    <x v="821"/>
  </r>
  <r>
    <s v="PRD-1825"/>
    <x v="17"/>
    <x v="1"/>
    <x v="1"/>
    <n v="1.48"/>
    <n v="2.94"/>
    <n v="157"/>
    <x v="117"/>
    <n v="110"/>
    <n v="17"/>
    <x v="1"/>
    <n v="1.46"/>
    <n v="138.18"/>
    <x v="822"/>
  </r>
  <r>
    <s v="PRD-1826"/>
    <x v="29"/>
    <x v="3"/>
    <x v="5"/>
    <n v="7.87"/>
    <n v="16.57"/>
    <n v="298"/>
    <x v="311"/>
    <n v="43"/>
    <n v="42"/>
    <x v="1"/>
    <n v="8.6999999999999993"/>
    <n v="4225.3500000000004"/>
    <x v="823"/>
  </r>
  <r>
    <s v="PRD-1827"/>
    <x v="20"/>
    <x v="3"/>
    <x v="2"/>
    <n v="17.670000000000002"/>
    <n v="26.49"/>
    <n v="70"/>
    <x v="104"/>
    <n v="8"/>
    <n v="13"/>
    <x v="0"/>
    <n v="8.8199999999999967"/>
    <n v="1642.3799999999999"/>
    <x v="824"/>
  </r>
  <r>
    <s v="PRD-1828"/>
    <x v="24"/>
    <x v="5"/>
    <x v="8"/>
    <n v="4.37"/>
    <n v="9.6"/>
    <n v="83"/>
    <x v="75"/>
    <n v="62"/>
    <n v="15"/>
    <x v="1"/>
    <n v="5.2299999999999995"/>
    <n v="201.6"/>
    <x v="825"/>
  </r>
  <r>
    <s v="PRD-1829"/>
    <x v="38"/>
    <x v="2"/>
    <x v="0"/>
    <n v="23.24"/>
    <n v="34.14"/>
    <n v="361"/>
    <x v="169"/>
    <n v="127"/>
    <n v="77"/>
    <x v="1"/>
    <n v="10.900000000000002"/>
    <n v="7988.76"/>
    <x v="826"/>
  </r>
  <r>
    <s v="PRD-1830"/>
    <x v="28"/>
    <x v="7"/>
    <x v="7"/>
    <n v="78.650000000000006"/>
    <n v="130.46"/>
    <n v="297"/>
    <x v="0"/>
    <n v="179"/>
    <n v="40"/>
    <x v="1"/>
    <n v="51.81"/>
    <n v="15394.28"/>
    <x v="827"/>
  </r>
  <r>
    <s v="PRD-1831"/>
    <x v="53"/>
    <x v="7"/>
    <x v="2"/>
    <n v="16.940000000000001"/>
    <n v="23.39"/>
    <n v="78"/>
    <x v="164"/>
    <n v="7"/>
    <n v="14"/>
    <x v="0"/>
    <n v="6.4499999999999993"/>
    <n v="1660.69"/>
    <x v="828"/>
  </r>
  <r>
    <s v="PRD-1832"/>
    <x v="54"/>
    <x v="6"/>
    <x v="1"/>
    <n v="12.45"/>
    <n v="17.59"/>
    <n v="226"/>
    <x v="106"/>
    <n v="159"/>
    <n v="37"/>
    <x v="1"/>
    <n v="5.1400000000000006"/>
    <n v="1178.53"/>
    <x v="829"/>
  </r>
  <r>
    <s v="PRD-1833"/>
    <x v="48"/>
    <x v="5"/>
    <x v="1"/>
    <n v="2.75"/>
    <n v="5.12"/>
    <n v="196"/>
    <x v="49"/>
    <n v="141"/>
    <n v="43"/>
    <x v="1"/>
    <n v="2.37"/>
    <n v="281.60000000000002"/>
    <x v="830"/>
  </r>
  <r>
    <s v="PRD-1834"/>
    <x v="37"/>
    <x v="6"/>
    <x v="2"/>
    <n v="21.93"/>
    <n v="30.94"/>
    <n v="381"/>
    <x v="13"/>
    <n v="238"/>
    <n v="82"/>
    <x v="1"/>
    <n v="9.0100000000000016"/>
    <n v="4424.42"/>
    <x v="831"/>
  </r>
  <r>
    <s v="PRD-1835"/>
    <x v="47"/>
    <x v="4"/>
    <x v="8"/>
    <n v="5.53"/>
    <n v="7.51"/>
    <n v="289"/>
    <x v="272"/>
    <n v="203"/>
    <n v="58"/>
    <x v="1"/>
    <n v="1.9799999999999995"/>
    <n v="645.86"/>
    <x v="832"/>
  </r>
  <r>
    <s v="PRD-1836"/>
    <x v="32"/>
    <x v="4"/>
    <x v="5"/>
    <n v="6.23"/>
    <n v="11.35"/>
    <n v="126"/>
    <x v="141"/>
    <n v="57"/>
    <n v="14"/>
    <x v="1"/>
    <n v="5.1199999999999992"/>
    <n v="783.15"/>
    <x v="833"/>
  </r>
  <r>
    <s v="PRD-1837"/>
    <x v="9"/>
    <x v="0"/>
    <x v="1"/>
    <n v="28.02"/>
    <n v="51.32"/>
    <n v="478"/>
    <x v="120"/>
    <n v="343"/>
    <n v="68"/>
    <x v="1"/>
    <n v="23.3"/>
    <n v="6928.2"/>
    <x v="834"/>
  </r>
  <r>
    <s v="PRD-1838"/>
    <x v="17"/>
    <x v="1"/>
    <x v="9"/>
    <n v="5.44"/>
    <n v="8.2100000000000009"/>
    <n v="108"/>
    <x v="248"/>
    <n v="96"/>
    <n v="26"/>
    <x v="1"/>
    <n v="2.7700000000000005"/>
    <n v="98.52000000000001"/>
    <x v="835"/>
  </r>
  <r>
    <s v="PRD-1839"/>
    <x v="2"/>
    <x v="2"/>
    <x v="2"/>
    <n v="16.899999999999999"/>
    <n v="30.81"/>
    <n v="22"/>
    <x v="56"/>
    <n v="11"/>
    <n v="2"/>
    <x v="1"/>
    <n v="13.91"/>
    <n v="338.90999999999997"/>
    <x v="836"/>
  </r>
  <r>
    <s v="PRD-1840"/>
    <x v="12"/>
    <x v="6"/>
    <x v="7"/>
    <n v="15.93"/>
    <n v="30.56"/>
    <n v="366"/>
    <x v="55"/>
    <n v="329"/>
    <n v="47"/>
    <x v="1"/>
    <n v="14.629999999999999"/>
    <n v="1130.72"/>
    <x v="837"/>
  </r>
  <r>
    <s v="PRD-1841"/>
    <x v="32"/>
    <x v="4"/>
    <x v="4"/>
    <n v="2.1800000000000002"/>
    <n v="4.68"/>
    <n v="229"/>
    <x v="312"/>
    <n v="131"/>
    <n v="27"/>
    <x v="1"/>
    <n v="2.4999999999999996"/>
    <n v="458.64"/>
    <x v="838"/>
  </r>
  <r>
    <s v="PRD-1842"/>
    <x v="12"/>
    <x v="6"/>
    <x v="1"/>
    <n v="12.67"/>
    <n v="24.7"/>
    <n v="363"/>
    <x v="301"/>
    <n v="147"/>
    <n v="56"/>
    <x v="1"/>
    <n v="12.03"/>
    <n v="5335.2"/>
    <x v="839"/>
  </r>
  <r>
    <s v="PRD-1843"/>
    <x v="17"/>
    <x v="1"/>
    <x v="0"/>
    <n v="17.37"/>
    <n v="28.83"/>
    <n v="165"/>
    <x v="286"/>
    <n v="14"/>
    <n v="23"/>
    <x v="0"/>
    <n v="11.459999999999997"/>
    <n v="4353.33"/>
    <x v="840"/>
  </r>
  <r>
    <s v="PRD-1844"/>
    <x v="8"/>
    <x v="2"/>
    <x v="0"/>
    <n v="16.68"/>
    <n v="30.78"/>
    <n v="454"/>
    <x v="262"/>
    <n v="202"/>
    <n v="84"/>
    <x v="1"/>
    <n v="14.100000000000001"/>
    <n v="7756.56"/>
    <x v="841"/>
  </r>
  <r>
    <s v="PRD-1845"/>
    <x v="57"/>
    <x v="6"/>
    <x v="3"/>
    <n v="9.84"/>
    <n v="20.27"/>
    <n v="41"/>
    <x v="176"/>
    <n v="6"/>
    <n v="5"/>
    <x v="1"/>
    <n v="10.43"/>
    <n v="709.44999999999993"/>
    <x v="842"/>
  </r>
  <r>
    <s v="PRD-1846"/>
    <x v="66"/>
    <x v="3"/>
    <x v="5"/>
    <n v="6.32"/>
    <n v="10.55"/>
    <n v="478"/>
    <x v="198"/>
    <n v="375"/>
    <n v="104"/>
    <x v="1"/>
    <n v="4.2300000000000004"/>
    <n v="1086.6500000000001"/>
    <x v="843"/>
  </r>
  <r>
    <s v="PRD-1847"/>
    <x v="8"/>
    <x v="2"/>
    <x v="0"/>
    <n v="14.88"/>
    <n v="27.54"/>
    <n v="290"/>
    <x v="26"/>
    <n v="188"/>
    <n v="70"/>
    <x v="1"/>
    <n v="12.659999999999998"/>
    <n v="2809.08"/>
    <x v="844"/>
  </r>
  <r>
    <s v="PRD-1848"/>
    <x v="47"/>
    <x v="4"/>
    <x v="8"/>
    <n v="1.8"/>
    <n v="2.86"/>
    <n v="267"/>
    <x v="175"/>
    <n v="21"/>
    <n v="49"/>
    <x v="0"/>
    <n v="1.0599999999999998"/>
    <n v="703.56"/>
    <x v="845"/>
  </r>
  <r>
    <s v="PRD-1849"/>
    <x v="54"/>
    <x v="6"/>
    <x v="8"/>
    <n v="13.68"/>
    <n v="27.78"/>
    <n v="151"/>
    <x v="141"/>
    <n v="82"/>
    <n v="18"/>
    <x v="1"/>
    <n v="14.100000000000001"/>
    <n v="1916.8200000000002"/>
    <x v="846"/>
  </r>
  <r>
    <s v="PRD-1850"/>
    <x v="52"/>
    <x v="1"/>
    <x v="3"/>
    <n v="11.84"/>
    <n v="25.48"/>
    <n v="154"/>
    <x v="214"/>
    <n v="42"/>
    <n v="27"/>
    <x v="1"/>
    <n v="13.64"/>
    <n v="2853.76"/>
    <x v="847"/>
  </r>
  <r>
    <s v="PRD-1851"/>
    <x v="31"/>
    <x v="6"/>
    <x v="4"/>
    <n v="4.71"/>
    <n v="8.82"/>
    <n v="101"/>
    <x v="104"/>
    <n v="39"/>
    <n v="12"/>
    <x v="1"/>
    <n v="4.1100000000000003"/>
    <n v="546.84"/>
    <x v="848"/>
  </r>
  <r>
    <s v="PRD-1852"/>
    <x v="52"/>
    <x v="1"/>
    <x v="3"/>
    <n v="11.94"/>
    <n v="22.42"/>
    <n v="48"/>
    <x v="4"/>
    <n v="40"/>
    <n v="11"/>
    <x v="1"/>
    <n v="10.480000000000002"/>
    <n v="179.36"/>
    <x v="849"/>
  </r>
  <r>
    <s v="PRD-1853"/>
    <x v="11"/>
    <x v="4"/>
    <x v="0"/>
    <n v="3.85"/>
    <n v="7.34"/>
    <n v="445"/>
    <x v="183"/>
    <n v="391"/>
    <n v="92"/>
    <x v="1"/>
    <n v="3.4899999999999998"/>
    <n v="396.36"/>
    <x v="850"/>
  </r>
  <r>
    <s v="PRD-1854"/>
    <x v="71"/>
    <x v="0"/>
    <x v="1"/>
    <n v="7.07"/>
    <n v="14.34"/>
    <n v="418"/>
    <x v="308"/>
    <n v="230"/>
    <n v="57"/>
    <x v="1"/>
    <n v="7.27"/>
    <n v="2695.92"/>
    <x v="851"/>
  </r>
  <r>
    <s v="PRD-1855"/>
    <x v="12"/>
    <x v="6"/>
    <x v="0"/>
    <n v="5.43"/>
    <n v="8.1300000000000008"/>
    <n v="387"/>
    <x v="313"/>
    <n v="191"/>
    <n v="78"/>
    <x v="1"/>
    <n v="2.7000000000000011"/>
    <n v="1593.4800000000002"/>
    <x v="852"/>
  </r>
  <r>
    <s v="PRD-1856"/>
    <x v="1"/>
    <x v="1"/>
    <x v="4"/>
    <n v="5.49"/>
    <n v="8.19"/>
    <n v="408"/>
    <x v="314"/>
    <n v="143"/>
    <n v="86"/>
    <x v="1"/>
    <n v="2.6999999999999993"/>
    <n v="2170.35"/>
    <x v="853"/>
  </r>
  <r>
    <s v="PRD-1857"/>
    <x v="64"/>
    <x v="2"/>
    <x v="7"/>
    <n v="11.81"/>
    <n v="21.63"/>
    <n v="457"/>
    <x v="242"/>
    <n v="313"/>
    <n v="71"/>
    <x v="1"/>
    <n v="9.8199999999999985"/>
    <n v="3114.72"/>
    <x v="854"/>
  </r>
  <r>
    <s v="PRD-1858"/>
    <x v="70"/>
    <x v="3"/>
    <x v="0"/>
    <n v="23"/>
    <n v="36.14"/>
    <n v="265"/>
    <x v="32"/>
    <n v="212"/>
    <n v="26"/>
    <x v="1"/>
    <n v="13.14"/>
    <n v="1915.42"/>
    <x v="855"/>
  </r>
  <r>
    <s v="PRD-1859"/>
    <x v="73"/>
    <x v="5"/>
    <x v="5"/>
    <n v="2.52"/>
    <n v="4.26"/>
    <n v="145"/>
    <x v="162"/>
    <n v="18"/>
    <n v="20"/>
    <x v="0"/>
    <n v="1.7399999999999998"/>
    <n v="541.02"/>
    <x v="856"/>
  </r>
  <r>
    <s v="PRD-1860"/>
    <x v="30"/>
    <x v="4"/>
    <x v="5"/>
    <n v="3.94"/>
    <n v="6.91"/>
    <n v="407"/>
    <x v="33"/>
    <n v="251"/>
    <n v="71"/>
    <x v="1"/>
    <n v="2.97"/>
    <n v="1077.96"/>
    <x v="857"/>
  </r>
  <r>
    <s v="PRD-1861"/>
    <x v="48"/>
    <x v="5"/>
    <x v="2"/>
    <n v="14.24"/>
    <n v="19.170000000000002"/>
    <n v="327"/>
    <x v="97"/>
    <n v="264"/>
    <n v="58"/>
    <x v="1"/>
    <n v="4.9300000000000015"/>
    <n v="1207.71"/>
    <x v="858"/>
  </r>
  <r>
    <s v="PRD-1862"/>
    <x v="74"/>
    <x v="0"/>
    <x v="9"/>
    <n v="24.42"/>
    <n v="44.04"/>
    <n v="497"/>
    <x v="315"/>
    <n v="113"/>
    <n v="66"/>
    <x v="1"/>
    <n v="19.619999999999997"/>
    <n v="16911.36"/>
    <x v="859"/>
  </r>
  <r>
    <s v="PRD-1863"/>
    <x v="2"/>
    <x v="2"/>
    <x v="0"/>
    <n v="11.43"/>
    <n v="21.94"/>
    <n v="418"/>
    <x v="228"/>
    <n v="237"/>
    <n v="75"/>
    <x v="1"/>
    <n v="10.510000000000002"/>
    <n v="3971.1400000000003"/>
    <x v="860"/>
  </r>
  <r>
    <s v="PRD-1864"/>
    <x v="72"/>
    <x v="6"/>
    <x v="3"/>
    <n v="4.74"/>
    <n v="9.6300000000000008"/>
    <n v="431"/>
    <x v="316"/>
    <n v="94"/>
    <n v="50"/>
    <x v="1"/>
    <n v="4.8900000000000006"/>
    <n v="3245.3100000000004"/>
    <x v="861"/>
  </r>
  <r>
    <s v="PRD-1865"/>
    <x v="13"/>
    <x v="2"/>
    <x v="3"/>
    <n v="11.86"/>
    <n v="24.73"/>
    <n v="323"/>
    <x v="52"/>
    <n v="280"/>
    <n v="55"/>
    <x v="1"/>
    <n v="12.870000000000001"/>
    <n v="1063.3900000000001"/>
    <x v="862"/>
  </r>
  <r>
    <s v="PRD-1866"/>
    <x v="67"/>
    <x v="7"/>
    <x v="8"/>
    <n v="4.47"/>
    <n v="7.99"/>
    <n v="366"/>
    <x v="317"/>
    <n v="236"/>
    <n v="77"/>
    <x v="1"/>
    <n v="3.5200000000000005"/>
    <n v="1038.7"/>
    <x v="863"/>
  </r>
  <r>
    <s v="PRD-1867"/>
    <x v="26"/>
    <x v="3"/>
    <x v="5"/>
    <n v="18.2"/>
    <n v="35.28"/>
    <n v="460"/>
    <x v="299"/>
    <n v="84"/>
    <n v="111"/>
    <x v="0"/>
    <n v="17.080000000000002"/>
    <n v="13265.28"/>
    <x v="864"/>
  </r>
  <r>
    <s v="PRD-1868"/>
    <x v="55"/>
    <x v="1"/>
    <x v="0"/>
    <n v="1.03"/>
    <n v="1.58"/>
    <n v="273"/>
    <x v="208"/>
    <n v="94"/>
    <n v="61"/>
    <x v="1"/>
    <n v="0.55000000000000004"/>
    <n v="282.82"/>
    <x v="865"/>
  </r>
  <r>
    <s v="PRD-1869"/>
    <x v="8"/>
    <x v="2"/>
    <x v="0"/>
    <n v="8.41"/>
    <n v="12.45"/>
    <n v="361"/>
    <x v="174"/>
    <n v="34"/>
    <n v="58"/>
    <x v="0"/>
    <n v="4.0399999999999991"/>
    <n v="4071.1499999999996"/>
    <x v="866"/>
  </r>
  <r>
    <s v="PRD-1870"/>
    <x v="11"/>
    <x v="4"/>
    <x v="6"/>
    <n v="10.72"/>
    <n v="14.34"/>
    <n v="447"/>
    <x v="143"/>
    <n v="220"/>
    <n v="98"/>
    <x v="1"/>
    <n v="3.6199999999999992"/>
    <n v="3255.18"/>
    <x v="867"/>
  </r>
  <r>
    <s v="PRD-1871"/>
    <x v="40"/>
    <x v="7"/>
    <x v="4"/>
    <n v="30.85"/>
    <n v="55.56"/>
    <n v="130"/>
    <x v="126"/>
    <n v="46"/>
    <n v="30"/>
    <x v="1"/>
    <n v="24.71"/>
    <n v="4667.04"/>
    <x v="868"/>
  </r>
  <r>
    <s v="PRD-1872"/>
    <x v="63"/>
    <x v="2"/>
    <x v="4"/>
    <n v="21.06"/>
    <n v="42.71"/>
    <n v="95"/>
    <x v="107"/>
    <n v="50"/>
    <n v="14"/>
    <x v="1"/>
    <n v="21.650000000000002"/>
    <n v="1921.95"/>
    <x v="869"/>
  </r>
  <r>
    <s v="PRD-1873"/>
    <x v="63"/>
    <x v="2"/>
    <x v="6"/>
    <n v="12.99"/>
    <n v="22.83"/>
    <n v="484"/>
    <x v="317"/>
    <n v="354"/>
    <n v="78"/>
    <x v="1"/>
    <n v="9.8399999999999981"/>
    <n v="2967.8999999999996"/>
    <x v="870"/>
  </r>
  <r>
    <s v="PRD-1874"/>
    <x v="60"/>
    <x v="1"/>
    <x v="6"/>
    <n v="17.16"/>
    <n v="32.72"/>
    <n v="247"/>
    <x v="117"/>
    <n v="200"/>
    <n v="25"/>
    <x v="1"/>
    <n v="15.559999999999999"/>
    <n v="1537.84"/>
    <x v="871"/>
  </r>
  <r>
    <s v="PRD-1875"/>
    <x v="33"/>
    <x v="6"/>
    <x v="8"/>
    <n v="18.28"/>
    <n v="33.93"/>
    <n v="374"/>
    <x v="318"/>
    <n v="134"/>
    <n v="73"/>
    <x v="1"/>
    <n v="15.649999999999999"/>
    <n v="8143.2"/>
    <x v="872"/>
  </r>
  <r>
    <s v="PRD-1876"/>
    <x v="71"/>
    <x v="0"/>
    <x v="5"/>
    <n v="10.5"/>
    <n v="15.85"/>
    <n v="426"/>
    <x v="140"/>
    <n v="134"/>
    <n v="88"/>
    <x v="1"/>
    <n v="5.35"/>
    <n v="4628.2"/>
    <x v="873"/>
  </r>
  <r>
    <s v="PRD-1877"/>
    <x v="60"/>
    <x v="1"/>
    <x v="2"/>
    <n v="13.33"/>
    <n v="24.48"/>
    <n v="382"/>
    <x v="196"/>
    <n v="151"/>
    <n v="63"/>
    <x v="1"/>
    <n v="11.15"/>
    <n v="5654.88"/>
    <x v="874"/>
  </r>
  <r>
    <s v="PRD-1878"/>
    <x v="38"/>
    <x v="2"/>
    <x v="7"/>
    <n v="13.4"/>
    <n v="28.1"/>
    <n v="118"/>
    <x v="59"/>
    <n v="14"/>
    <n v="18"/>
    <x v="0"/>
    <n v="14.700000000000001"/>
    <n v="2922.4"/>
    <x v="875"/>
  </r>
  <r>
    <s v="PRD-1879"/>
    <x v="69"/>
    <x v="4"/>
    <x v="5"/>
    <n v="8.65"/>
    <n v="15.99"/>
    <n v="347"/>
    <x v="211"/>
    <n v="283"/>
    <n v="54"/>
    <x v="1"/>
    <n v="7.34"/>
    <n v="1023.36"/>
    <x v="876"/>
  </r>
  <r>
    <s v="PRD-1880"/>
    <x v="34"/>
    <x v="4"/>
    <x v="1"/>
    <n v="4.54"/>
    <n v="6.49"/>
    <n v="242"/>
    <x v="192"/>
    <n v="45"/>
    <n v="37"/>
    <x v="1"/>
    <n v="1.9500000000000002"/>
    <n v="1278.53"/>
    <x v="877"/>
  </r>
  <r>
    <s v="PRD-1881"/>
    <x v="75"/>
    <x v="3"/>
    <x v="8"/>
    <n v="2.5"/>
    <n v="4.59"/>
    <n v="355"/>
    <x v="33"/>
    <n v="199"/>
    <n v="54"/>
    <x v="1"/>
    <n v="2.09"/>
    <n v="716.04"/>
    <x v="878"/>
  </r>
  <r>
    <s v="PRD-1882"/>
    <x v="9"/>
    <x v="0"/>
    <x v="0"/>
    <n v="19.350000000000001"/>
    <n v="41.71"/>
    <n v="299"/>
    <x v="155"/>
    <n v="114"/>
    <n v="41"/>
    <x v="1"/>
    <n v="22.36"/>
    <n v="7716.35"/>
    <x v="879"/>
  </r>
  <r>
    <s v="PRD-1883"/>
    <x v="46"/>
    <x v="7"/>
    <x v="2"/>
    <n v="33.92"/>
    <n v="61.59"/>
    <n v="291"/>
    <x v="283"/>
    <n v="71"/>
    <n v="35"/>
    <x v="1"/>
    <n v="27.67"/>
    <n v="13549.800000000001"/>
    <x v="880"/>
  </r>
  <r>
    <s v="PRD-1884"/>
    <x v="26"/>
    <x v="3"/>
    <x v="3"/>
    <n v="23.79"/>
    <n v="51.96"/>
    <n v="326"/>
    <x v="124"/>
    <n v="204"/>
    <n v="40"/>
    <x v="1"/>
    <n v="28.17"/>
    <n v="6339.12"/>
    <x v="881"/>
  </r>
  <r>
    <s v="PRD-1885"/>
    <x v="49"/>
    <x v="6"/>
    <x v="5"/>
    <n v="20.23"/>
    <n v="43.8"/>
    <n v="347"/>
    <x v="146"/>
    <n v="213"/>
    <n v="82"/>
    <x v="1"/>
    <n v="23.569999999999997"/>
    <n v="5869.2"/>
    <x v="882"/>
  </r>
  <r>
    <s v="PRD-1886"/>
    <x v="44"/>
    <x v="1"/>
    <x v="7"/>
    <n v="1.71"/>
    <n v="3.72"/>
    <n v="440"/>
    <x v="82"/>
    <n v="89"/>
    <n v="75"/>
    <x v="1"/>
    <n v="2.0100000000000002"/>
    <n v="1305.72"/>
    <x v="883"/>
  </r>
  <r>
    <s v="PRD-1887"/>
    <x v="18"/>
    <x v="1"/>
    <x v="1"/>
    <n v="11.53"/>
    <n v="24.14"/>
    <n v="95"/>
    <x v="118"/>
    <n v="17"/>
    <n v="22"/>
    <x v="0"/>
    <n v="12.610000000000001"/>
    <n v="1882.92"/>
    <x v="884"/>
  </r>
  <r>
    <s v="PRD-1888"/>
    <x v="75"/>
    <x v="3"/>
    <x v="0"/>
    <n v="10.74"/>
    <n v="14.08"/>
    <n v="391"/>
    <x v="62"/>
    <n v="185"/>
    <n v="58"/>
    <x v="1"/>
    <n v="3.34"/>
    <n v="2900.48"/>
    <x v="885"/>
  </r>
  <r>
    <s v="PRD-1889"/>
    <x v="30"/>
    <x v="4"/>
    <x v="4"/>
    <n v="8.6999999999999993"/>
    <n v="15.08"/>
    <n v="433"/>
    <x v="262"/>
    <n v="181"/>
    <n v="93"/>
    <x v="1"/>
    <n v="6.3800000000000008"/>
    <n v="3800.16"/>
    <x v="886"/>
  </r>
  <r>
    <s v="PRD-1890"/>
    <x v="63"/>
    <x v="2"/>
    <x v="7"/>
    <n v="19.91"/>
    <n v="41.61"/>
    <n v="73"/>
    <x v="30"/>
    <n v="57"/>
    <n v="9"/>
    <x v="1"/>
    <n v="21.7"/>
    <n v="665.76"/>
    <x v="887"/>
  </r>
  <r>
    <s v="PRD-1891"/>
    <x v="23"/>
    <x v="0"/>
    <x v="6"/>
    <n v="23.57"/>
    <n v="35.64"/>
    <n v="256"/>
    <x v="318"/>
    <n v="16"/>
    <n v="42"/>
    <x v="0"/>
    <n v="12.07"/>
    <n v="8553.6"/>
    <x v="888"/>
  </r>
  <r>
    <s v="PRD-1892"/>
    <x v="71"/>
    <x v="0"/>
    <x v="2"/>
    <n v="28.82"/>
    <n v="45.98"/>
    <n v="34"/>
    <x v="142"/>
    <n v="11"/>
    <n v="5"/>
    <x v="1"/>
    <n v="17.159999999999997"/>
    <n v="1057.54"/>
    <x v="889"/>
  </r>
  <r>
    <s v="PRD-1893"/>
    <x v="60"/>
    <x v="1"/>
    <x v="6"/>
    <n v="15.03"/>
    <n v="23.18"/>
    <n v="331"/>
    <x v="207"/>
    <n v="96"/>
    <n v="55"/>
    <x v="1"/>
    <n v="8.15"/>
    <n v="5447.3"/>
    <x v="890"/>
  </r>
  <r>
    <s v="PRD-1894"/>
    <x v="59"/>
    <x v="0"/>
    <x v="0"/>
    <n v="2.88"/>
    <n v="4.8499999999999996"/>
    <n v="63"/>
    <x v="285"/>
    <n v="50"/>
    <n v="6"/>
    <x v="1"/>
    <n v="1.9699999999999998"/>
    <n v="63.05"/>
    <x v="891"/>
  </r>
  <r>
    <s v="PRD-1895"/>
    <x v="13"/>
    <x v="2"/>
    <x v="7"/>
    <n v="8.35"/>
    <n v="15.83"/>
    <n v="440"/>
    <x v="188"/>
    <n v="295"/>
    <n v="80"/>
    <x v="1"/>
    <n v="7.48"/>
    <n v="2295.35"/>
    <x v="892"/>
  </r>
  <r>
    <s v="PRD-1896"/>
    <x v="5"/>
    <x v="4"/>
    <x v="8"/>
    <n v="2.77"/>
    <n v="5.73"/>
    <n v="183"/>
    <x v="117"/>
    <n v="136"/>
    <n v="36"/>
    <x v="1"/>
    <n v="2.9600000000000004"/>
    <n v="269.31"/>
    <x v="893"/>
  </r>
  <r>
    <s v="PRD-1897"/>
    <x v="53"/>
    <x v="7"/>
    <x v="8"/>
    <n v="38.83"/>
    <n v="77.260000000000005"/>
    <n v="372"/>
    <x v="319"/>
    <n v="61"/>
    <n v="57"/>
    <x v="1"/>
    <n v="38.430000000000007"/>
    <n v="24027.86"/>
    <x v="894"/>
  </r>
  <r>
    <s v="PRD-1898"/>
    <x v="18"/>
    <x v="1"/>
    <x v="4"/>
    <n v="2.2799999999999998"/>
    <n v="3.39"/>
    <n v="199"/>
    <x v="220"/>
    <n v="133"/>
    <n v="45"/>
    <x v="1"/>
    <n v="1.1100000000000003"/>
    <n v="223.74"/>
    <x v="895"/>
  </r>
  <r>
    <s v="PRD-1899"/>
    <x v="53"/>
    <x v="7"/>
    <x v="0"/>
    <n v="7.6"/>
    <n v="13.42"/>
    <n v="436"/>
    <x v="151"/>
    <n v="298"/>
    <n v="97"/>
    <x v="1"/>
    <n v="5.82"/>
    <n v="1851.96"/>
    <x v="896"/>
  </r>
  <r>
    <s v="PRD-1900"/>
    <x v="27"/>
    <x v="7"/>
    <x v="2"/>
    <n v="49.88"/>
    <n v="80.040000000000006"/>
    <n v="210"/>
    <x v="197"/>
    <n v="153"/>
    <n v="28"/>
    <x v="1"/>
    <n v="30.160000000000004"/>
    <n v="4562.2800000000007"/>
    <x v="897"/>
  </r>
  <r>
    <s v="PRD-1901"/>
    <x v="72"/>
    <x v="6"/>
    <x v="1"/>
    <n v="14.82"/>
    <n v="29.18"/>
    <n v="50"/>
    <x v="90"/>
    <n v="23"/>
    <n v="11"/>
    <x v="1"/>
    <n v="14.36"/>
    <n v="787.86"/>
    <x v="898"/>
  </r>
  <r>
    <s v="PRD-1902"/>
    <x v="73"/>
    <x v="5"/>
    <x v="5"/>
    <n v="5.38"/>
    <n v="10.07"/>
    <n v="159"/>
    <x v="75"/>
    <n v="138"/>
    <n v="17"/>
    <x v="1"/>
    <n v="4.6900000000000004"/>
    <n v="211.47"/>
    <x v="899"/>
  </r>
  <r>
    <s v="PRD-1903"/>
    <x v="8"/>
    <x v="2"/>
    <x v="5"/>
    <n v="14.66"/>
    <n v="25.45"/>
    <n v="166"/>
    <x v="69"/>
    <n v="16"/>
    <n v="35"/>
    <x v="0"/>
    <n v="10.79"/>
    <n v="3817.5"/>
    <x v="900"/>
  </r>
  <r>
    <s v="PRD-1904"/>
    <x v="40"/>
    <x v="7"/>
    <x v="5"/>
    <n v="7.86"/>
    <n v="12.78"/>
    <n v="338"/>
    <x v="190"/>
    <n v="42"/>
    <n v="34"/>
    <x v="1"/>
    <n v="4.919999999999999"/>
    <n v="3782.8799999999997"/>
    <x v="901"/>
  </r>
  <r>
    <s v="PRD-1905"/>
    <x v="54"/>
    <x v="6"/>
    <x v="3"/>
    <n v="19.43"/>
    <n v="30.49"/>
    <n v="428"/>
    <x v="264"/>
    <n v="126"/>
    <n v="46"/>
    <x v="1"/>
    <n v="11.059999999999999"/>
    <n v="9207.98"/>
    <x v="902"/>
  </r>
  <r>
    <s v="PRD-1906"/>
    <x v="21"/>
    <x v="2"/>
    <x v="5"/>
    <n v="11.09"/>
    <n v="23.91"/>
    <n v="467"/>
    <x v="299"/>
    <n v="91"/>
    <n v="76"/>
    <x v="1"/>
    <n v="12.82"/>
    <n v="8990.16"/>
    <x v="903"/>
  </r>
  <r>
    <s v="PRD-1907"/>
    <x v="45"/>
    <x v="5"/>
    <x v="9"/>
    <n v="0.7"/>
    <n v="1.27"/>
    <n v="156"/>
    <x v="320"/>
    <n v="33"/>
    <n v="33"/>
    <x v="0"/>
    <n v="0.57000000000000006"/>
    <n v="156.21"/>
    <x v="904"/>
  </r>
  <r>
    <s v="PRD-1908"/>
    <x v="5"/>
    <x v="4"/>
    <x v="5"/>
    <n v="5.68"/>
    <n v="9.07"/>
    <n v="196"/>
    <x v="63"/>
    <n v="99"/>
    <n v="24"/>
    <x v="1"/>
    <n v="3.3900000000000006"/>
    <n v="879.79000000000008"/>
    <x v="905"/>
  </r>
  <r>
    <s v="PRD-1909"/>
    <x v="47"/>
    <x v="4"/>
    <x v="4"/>
    <n v="8.27"/>
    <n v="17.14"/>
    <n v="298"/>
    <x v="321"/>
    <n v="57"/>
    <n v="35"/>
    <x v="1"/>
    <n v="8.870000000000001"/>
    <n v="4130.74"/>
    <x v="906"/>
  </r>
  <r>
    <s v="PRD-1910"/>
    <x v="7"/>
    <x v="2"/>
    <x v="1"/>
    <n v="1.96"/>
    <n v="2.95"/>
    <n v="97"/>
    <x v="1"/>
    <n v="87"/>
    <n v="10"/>
    <x v="1"/>
    <n v="0.99000000000000021"/>
    <n v="29.5"/>
    <x v="907"/>
  </r>
  <r>
    <s v="PRD-1911"/>
    <x v="52"/>
    <x v="1"/>
    <x v="9"/>
    <n v="5.0199999999999996"/>
    <n v="7.14"/>
    <n v="100"/>
    <x v="236"/>
    <n v="26"/>
    <n v="12"/>
    <x v="1"/>
    <n v="2.12"/>
    <n v="528.36"/>
    <x v="908"/>
  </r>
  <r>
    <s v="PRD-1912"/>
    <x v="27"/>
    <x v="7"/>
    <x v="5"/>
    <n v="59.73"/>
    <n v="103.4"/>
    <n v="258"/>
    <x v="96"/>
    <n v="26"/>
    <n v="37"/>
    <x v="0"/>
    <n v="43.670000000000009"/>
    <n v="23988.800000000003"/>
    <x v="909"/>
  </r>
  <r>
    <s v="PRD-1913"/>
    <x v="3"/>
    <x v="3"/>
    <x v="3"/>
    <n v="7.25"/>
    <n v="10.58"/>
    <n v="497"/>
    <x v="322"/>
    <n v="117"/>
    <n v="53"/>
    <x v="1"/>
    <n v="3.33"/>
    <n v="4020.4"/>
    <x v="910"/>
  </r>
  <r>
    <s v="PRD-1914"/>
    <x v="23"/>
    <x v="0"/>
    <x v="5"/>
    <n v="3.63"/>
    <n v="5.89"/>
    <n v="308"/>
    <x v="323"/>
    <n v="45"/>
    <n v="48"/>
    <x v="0"/>
    <n v="2.2599999999999998"/>
    <n v="1549.07"/>
    <x v="911"/>
  </r>
  <r>
    <s v="PRD-1915"/>
    <x v="58"/>
    <x v="6"/>
    <x v="8"/>
    <n v="23.36"/>
    <n v="47.81"/>
    <n v="300"/>
    <x v="220"/>
    <n v="234"/>
    <n v="31"/>
    <x v="1"/>
    <n v="24.450000000000003"/>
    <n v="3155.46"/>
    <x v="912"/>
  </r>
  <r>
    <s v="PRD-1916"/>
    <x v="2"/>
    <x v="2"/>
    <x v="9"/>
    <n v="5.34"/>
    <n v="11.13"/>
    <n v="410"/>
    <x v="324"/>
    <n v="235"/>
    <n v="62"/>
    <x v="1"/>
    <n v="5.7900000000000009"/>
    <n v="1947.7500000000002"/>
    <x v="913"/>
  </r>
  <r>
    <s v="PRD-1917"/>
    <x v="24"/>
    <x v="5"/>
    <x v="0"/>
    <n v="3.83"/>
    <n v="6.14"/>
    <n v="71"/>
    <x v="193"/>
    <n v="10"/>
    <n v="14"/>
    <x v="0"/>
    <n v="2.3099999999999996"/>
    <n v="374.53999999999996"/>
    <x v="914"/>
  </r>
  <r>
    <s v="PRD-1918"/>
    <x v="67"/>
    <x v="7"/>
    <x v="5"/>
    <n v="39.799999999999997"/>
    <n v="54.47"/>
    <n v="328"/>
    <x v="88"/>
    <n v="91"/>
    <n v="54"/>
    <x v="1"/>
    <n v="14.670000000000002"/>
    <n v="12909.39"/>
    <x v="915"/>
  </r>
  <r>
    <s v="PRD-1919"/>
    <x v="16"/>
    <x v="0"/>
    <x v="0"/>
    <n v="11.85"/>
    <n v="22.38"/>
    <n v="226"/>
    <x v="158"/>
    <n v="52"/>
    <n v="41"/>
    <x v="1"/>
    <n v="10.53"/>
    <n v="3894.12"/>
    <x v="916"/>
  </r>
  <r>
    <s v="PRD-1920"/>
    <x v="25"/>
    <x v="5"/>
    <x v="3"/>
    <n v="1.67"/>
    <n v="2.77"/>
    <n v="422"/>
    <x v="303"/>
    <n v="98"/>
    <n v="86"/>
    <x v="1"/>
    <n v="1.1000000000000001"/>
    <n v="897.48"/>
    <x v="917"/>
  </r>
  <r>
    <s v="PRD-1921"/>
    <x v="74"/>
    <x v="0"/>
    <x v="8"/>
    <n v="11.45"/>
    <n v="22.62"/>
    <n v="113"/>
    <x v="203"/>
    <n v="7"/>
    <n v="25"/>
    <x v="0"/>
    <n v="11.170000000000002"/>
    <n v="2397.7200000000003"/>
    <x v="918"/>
  </r>
  <r>
    <s v="PRD-1922"/>
    <x v="74"/>
    <x v="0"/>
    <x v="4"/>
    <n v="14.4"/>
    <n v="30.84"/>
    <n v="233"/>
    <x v="324"/>
    <n v="58"/>
    <n v="40"/>
    <x v="1"/>
    <n v="16.439999999999998"/>
    <n v="5397"/>
    <x v="919"/>
  </r>
  <r>
    <s v="PRD-1923"/>
    <x v="59"/>
    <x v="0"/>
    <x v="4"/>
    <n v="5.8"/>
    <n v="12.41"/>
    <n v="435"/>
    <x v="121"/>
    <n v="33"/>
    <n v="86"/>
    <x v="0"/>
    <n v="6.61"/>
    <n v="4988.82"/>
    <x v="920"/>
  </r>
  <r>
    <s v="PRD-1924"/>
    <x v="72"/>
    <x v="6"/>
    <x v="7"/>
    <n v="31.92"/>
    <n v="63.84"/>
    <n v="434"/>
    <x v="118"/>
    <n v="356"/>
    <n v="47"/>
    <x v="1"/>
    <n v="31.92"/>
    <n v="4979.5200000000004"/>
    <x v="921"/>
  </r>
  <r>
    <s v="PRD-1925"/>
    <x v="35"/>
    <x v="4"/>
    <x v="5"/>
    <n v="10.48"/>
    <n v="15.08"/>
    <n v="405"/>
    <x v="3"/>
    <n v="265"/>
    <n v="44"/>
    <x v="1"/>
    <n v="4.5999999999999996"/>
    <n v="2111.1999999999998"/>
    <x v="922"/>
  </r>
  <r>
    <s v="PRD-1926"/>
    <x v="59"/>
    <x v="0"/>
    <x v="0"/>
    <n v="8.65"/>
    <n v="13.72"/>
    <n v="463"/>
    <x v="214"/>
    <n v="351"/>
    <n v="59"/>
    <x v="1"/>
    <n v="5.07"/>
    <n v="1536.64"/>
    <x v="923"/>
  </r>
  <r>
    <s v="PRD-1927"/>
    <x v="67"/>
    <x v="7"/>
    <x v="4"/>
    <n v="30.55"/>
    <n v="48.57"/>
    <n v="171"/>
    <x v="46"/>
    <n v="95"/>
    <n v="21"/>
    <x v="1"/>
    <n v="18.02"/>
    <n v="3691.32"/>
    <x v="924"/>
  </r>
  <r>
    <s v="PRD-1928"/>
    <x v="8"/>
    <x v="2"/>
    <x v="0"/>
    <n v="6.88"/>
    <n v="12.41"/>
    <n v="471"/>
    <x v="317"/>
    <n v="341"/>
    <n v="90"/>
    <x v="1"/>
    <n v="5.53"/>
    <n v="1613.3"/>
    <x v="925"/>
  </r>
  <r>
    <s v="PRD-1929"/>
    <x v="34"/>
    <x v="4"/>
    <x v="8"/>
    <n v="9.31"/>
    <n v="17.27"/>
    <n v="373"/>
    <x v="192"/>
    <n v="176"/>
    <n v="38"/>
    <x v="1"/>
    <n v="7.9599999999999991"/>
    <n v="3402.19"/>
    <x v="926"/>
  </r>
  <r>
    <s v="PRD-1930"/>
    <x v="35"/>
    <x v="4"/>
    <x v="7"/>
    <n v="4.1500000000000004"/>
    <n v="7.02"/>
    <n v="391"/>
    <x v="57"/>
    <n v="335"/>
    <n v="78"/>
    <x v="1"/>
    <n v="2.8699999999999992"/>
    <n v="393.12"/>
    <x v="927"/>
  </r>
  <r>
    <s v="PRD-1931"/>
    <x v="6"/>
    <x v="0"/>
    <x v="0"/>
    <n v="3.14"/>
    <n v="6.34"/>
    <n v="247"/>
    <x v="10"/>
    <n v="164"/>
    <n v="57"/>
    <x v="1"/>
    <n v="3.1999999999999997"/>
    <n v="526.22"/>
    <x v="928"/>
  </r>
  <r>
    <s v="PRD-1932"/>
    <x v="30"/>
    <x v="4"/>
    <x v="6"/>
    <n v="10.45"/>
    <n v="14.7"/>
    <n v="448"/>
    <x v="325"/>
    <n v="31"/>
    <n v="102"/>
    <x v="0"/>
    <n v="4.25"/>
    <n v="6129.9"/>
    <x v="929"/>
  </r>
  <r>
    <s v="PRD-1933"/>
    <x v="47"/>
    <x v="4"/>
    <x v="0"/>
    <n v="7.73"/>
    <n v="13.75"/>
    <n v="55"/>
    <x v="71"/>
    <n v="13"/>
    <n v="6"/>
    <x v="1"/>
    <n v="6.02"/>
    <n v="577.5"/>
    <x v="930"/>
  </r>
  <r>
    <s v="PRD-1934"/>
    <x v="14"/>
    <x v="1"/>
    <x v="2"/>
    <n v="3.96"/>
    <n v="6.32"/>
    <n v="233"/>
    <x v="320"/>
    <n v="110"/>
    <n v="36"/>
    <x v="1"/>
    <n v="2.3600000000000003"/>
    <n v="777.36"/>
    <x v="931"/>
  </r>
  <r>
    <s v="PRD-1935"/>
    <x v="34"/>
    <x v="4"/>
    <x v="1"/>
    <n v="10.32"/>
    <n v="19.71"/>
    <n v="160"/>
    <x v="107"/>
    <n v="115"/>
    <n v="25"/>
    <x v="1"/>
    <n v="9.39"/>
    <n v="886.95"/>
    <x v="932"/>
  </r>
  <r>
    <s v="PRD-1936"/>
    <x v="55"/>
    <x v="1"/>
    <x v="9"/>
    <n v="12.94"/>
    <n v="24.49"/>
    <n v="166"/>
    <x v="117"/>
    <n v="119"/>
    <n v="34"/>
    <x v="1"/>
    <n v="11.549999999999999"/>
    <n v="1151.03"/>
    <x v="933"/>
  </r>
  <r>
    <s v="PRD-1937"/>
    <x v="55"/>
    <x v="1"/>
    <x v="0"/>
    <n v="13.62"/>
    <n v="25.36"/>
    <n v="92"/>
    <x v="106"/>
    <n v="25"/>
    <n v="17"/>
    <x v="1"/>
    <n v="11.74"/>
    <n v="1699.12"/>
    <x v="934"/>
  </r>
  <r>
    <s v="PRD-1938"/>
    <x v="31"/>
    <x v="6"/>
    <x v="8"/>
    <n v="21.08"/>
    <n v="43.85"/>
    <n v="93"/>
    <x v="32"/>
    <n v="40"/>
    <n v="11"/>
    <x v="1"/>
    <n v="22.770000000000003"/>
    <n v="2324.0500000000002"/>
    <x v="935"/>
  </r>
  <r>
    <s v="PRD-1939"/>
    <x v="26"/>
    <x v="3"/>
    <x v="4"/>
    <n v="3.9"/>
    <n v="7.15"/>
    <n v="499"/>
    <x v="326"/>
    <n v="319"/>
    <n v="66"/>
    <x v="1"/>
    <n v="3.2500000000000004"/>
    <n v="1287"/>
    <x v="936"/>
  </r>
  <r>
    <s v="PRD-1940"/>
    <x v="48"/>
    <x v="5"/>
    <x v="5"/>
    <n v="8.91"/>
    <n v="13.27"/>
    <n v="273"/>
    <x v="155"/>
    <n v="88"/>
    <n v="48"/>
    <x v="1"/>
    <n v="4.3599999999999994"/>
    <n v="2454.9499999999998"/>
    <x v="937"/>
  </r>
  <r>
    <s v="PRD-1941"/>
    <x v="18"/>
    <x v="1"/>
    <x v="8"/>
    <n v="15.95"/>
    <n v="34.299999999999997"/>
    <n v="297"/>
    <x v="3"/>
    <n v="157"/>
    <n v="66"/>
    <x v="1"/>
    <n v="18.349999999999998"/>
    <n v="4802"/>
    <x v="938"/>
  </r>
  <r>
    <s v="PRD-1942"/>
    <x v="59"/>
    <x v="0"/>
    <x v="2"/>
    <n v="10.95"/>
    <n v="21.56"/>
    <n v="446"/>
    <x v="124"/>
    <n v="324"/>
    <n v="68"/>
    <x v="1"/>
    <n v="10.61"/>
    <n v="2630.3199999999997"/>
    <x v="939"/>
  </r>
  <r>
    <s v="PRD-1943"/>
    <x v="29"/>
    <x v="3"/>
    <x v="4"/>
    <n v="17.86"/>
    <n v="31.37"/>
    <n v="58"/>
    <x v="50"/>
    <n v="49"/>
    <n v="12"/>
    <x v="1"/>
    <n v="13.510000000000002"/>
    <n v="282.33"/>
    <x v="940"/>
  </r>
  <r>
    <s v="PRD-1944"/>
    <x v="51"/>
    <x v="5"/>
    <x v="7"/>
    <n v="13.27"/>
    <n v="24.83"/>
    <n v="346"/>
    <x v="61"/>
    <n v="288"/>
    <n v="82"/>
    <x v="1"/>
    <n v="11.559999999999999"/>
    <n v="1440.1399999999999"/>
    <x v="941"/>
  </r>
  <r>
    <s v="PRD-1945"/>
    <x v="50"/>
    <x v="3"/>
    <x v="7"/>
    <n v="13.35"/>
    <n v="27.84"/>
    <n v="126"/>
    <x v="32"/>
    <n v="73"/>
    <n v="27"/>
    <x v="1"/>
    <n v="14.49"/>
    <n v="1475.52"/>
    <x v="942"/>
  </r>
  <r>
    <s v="PRD-1946"/>
    <x v="39"/>
    <x v="4"/>
    <x v="3"/>
    <n v="5.93"/>
    <n v="10.28"/>
    <n v="211"/>
    <x v="86"/>
    <n v="123"/>
    <n v="37"/>
    <x v="1"/>
    <n v="4.3499999999999996"/>
    <n v="904.64"/>
    <x v="943"/>
  </r>
  <r>
    <s v="PRD-1947"/>
    <x v="28"/>
    <x v="7"/>
    <x v="8"/>
    <n v="22.56"/>
    <n v="43.91"/>
    <n v="159"/>
    <x v="267"/>
    <n v="72"/>
    <n v="25"/>
    <x v="1"/>
    <n v="21.349999999999998"/>
    <n v="3820.1699999999996"/>
    <x v="944"/>
  </r>
  <r>
    <s v="PRD-1948"/>
    <x v="58"/>
    <x v="6"/>
    <x v="7"/>
    <n v="30"/>
    <n v="55.75"/>
    <n v="329"/>
    <x v="57"/>
    <n v="273"/>
    <n v="35"/>
    <x v="1"/>
    <n v="25.75"/>
    <n v="3122"/>
    <x v="945"/>
  </r>
  <r>
    <s v="PRD-1949"/>
    <x v="79"/>
    <x v="4"/>
    <x v="7"/>
    <n v="11.35"/>
    <n v="15.94"/>
    <n v="126"/>
    <x v="110"/>
    <n v="56"/>
    <n v="23"/>
    <x v="1"/>
    <n v="4.59"/>
    <n v="1115.8"/>
    <x v="946"/>
  </r>
  <r>
    <s v="PRD-1950"/>
    <x v="28"/>
    <x v="7"/>
    <x v="3"/>
    <n v="8.0500000000000007"/>
    <n v="13.63"/>
    <n v="115"/>
    <x v="194"/>
    <n v="10"/>
    <n v="23"/>
    <x v="0"/>
    <n v="5.58"/>
    <n v="1431.15"/>
    <x v="947"/>
  </r>
  <r>
    <s v="PRD-1951"/>
    <x v="51"/>
    <x v="5"/>
    <x v="7"/>
    <n v="0.52"/>
    <n v="1.07"/>
    <n v="331"/>
    <x v="8"/>
    <n v="272"/>
    <n v="47"/>
    <x v="1"/>
    <n v="0.55000000000000004"/>
    <n v="63.13"/>
    <x v="948"/>
  </r>
  <r>
    <s v="PRD-1952"/>
    <x v="23"/>
    <x v="0"/>
    <x v="7"/>
    <n v="27.24"/>
    <n v="52.15"/>
    <n v="53"/>
    <x v="65"/>
    <n v="34"/>
    <n v="8"/>
    <x v="1"/>
    <n v="24.91"/>
    <n v="990.85"/>
    <x v="949"/>
  </r>
  <r>
    <s v="PRD-1953"/>
    <x v="62"/>
    <x v="7"/>
    <x v="5"/>
    <n v="74.17"/>
    <n v="143.83000000000001"/>
    <n v="489"/>
    <x v="260"/>
    <n v="302"/>
    <n v="51"/>
    <x v="1"/>
    <n v="69.660000000000011"/>
    <n v="26896.210000000003"/>
    <x v="950"/>
  </r>
  <r>
    <s v="PRD-1954"/>
    <x v="66"/>
    <x v="3"/>
    <x v="6"/>
    <n v="12.12"/>
    <n v="24.34"/>
    <n v="293"/>
    <x v="196"/>
    <n v="62"/>
    <n v="45"/>
    <x v="1"/>
    <n v="12.22"/>
    <n v="5622.54"/>
    <x v="951"/>
  </r>
  <r>
    <s v="PRD-1955"/>
    <x v="63"/>
    <x v="2"/>
    <x v="7"/>
    <n v="20.170000000000002"/>
    <n v="41.49"/>
    <n v="231"/>
    <x v="327"/>
    <n v="76"/>
    <n v="40"/>
    <x v="1"/>
    <n v="21.32"/>
    <n v="6430.9500000000007"/>
    <x v="952"/>
  </r>
  <r>
    <s v="PRD-1956"/>
    <x v="73"/>
    <x v="5"/>
    <x v="7"/>
    <n v="10.050000000000001"/>
    <n v="14.57"/>
    <n v="197"/>
    <x v="236"/>
    <n v="123"/>
    <n v="43"/>
    <x v="1"/>
    <n v="4.5199999999999996"/>
    <n v="1078.18"/>
    <x v="953"/>
  </r>
  <r>
    <s v="PRD-1957"/>
    <x v="72"/>
    <x v="6"/>
    <x v="4"/>
    <n v="31.3"/>
    <n v="41.23"/>
    <n v="97"/>
    <x v="193"/>
    <n v="36"/>
    <n v="23"/>
    <x v="1"/>
    <n v="9.9299999999999962"/>
    <n v="2515.0299999999997"/>
    <x v="954"/>
  </r>
  <r>
    <s v="PRD-1958"/>
    <x v="36"/>
    <x v="3"/>
    <x v="9"/>
    <n v="24.57"/>
    <n v="43.9"/>
    <n v="289"/>
    <x v="62"/>
    <n v="83"/>
    <n v="42"/>
    <x v="1"/>
    <n v="19.329999999999998"/>
    <n v="9043.4"/>
    <x v="955"/>
  </r>
  <r>
    <s v="PRD-1959"/>
    <x v="69"/>
    <x v="4"/>
    <x v="4"/>
    <n v="2.67"/>
    <n v="5.83"/>
    <n v="124"/>
    <x v="123"/>
    <n v="47"/>
    <n v="12"/>
    <x v="1"/>
    <n v="3.16"/>
    <n v="448.91"/>
    <x v="956"/>
  </r>
  <r>
    <s v="PRD-1960"/>
    <x v="57"/>
    <x v="6"/>
    <x v="1"/>
    <n v="30.03"/>
    <n v="45.62"/>
    <n v="367"/>
    <x v="328"/>
    <n v="123"/>
    <n v="66"/>
    <x v="1"/>
    <n v="15.589999999999996"/>
    <n v="11131.279999999999"/>
    <x v="957"/>
  </r>
  <r>
    <s v="PRD-1961"/>
    <x v="9"/>
    <x v="0"/>
    <x v="0"/>
    <n v="26.83"/>
    <n v="52.63"/>
    <n v="358"/>
    <x v="152"/>
    <n v="89"/>
    <n v="36"/>
    <x v="1"/>
    <n v="25.800000000000004"/>
    <n v="14157.470000000001"/>
    <x v="958"/>
  </r>
  <r>
    <s v="PRD-1962"/>
    <x v="70"/>
    <x v="3"/>
    <x v="0"/>
    <n v="7.49"/>
    <n v="13.35"/>
    <n v="491"/>
    <x v="88"/>
    <n v="254"/>
    <n v="103"/>
    <x v="1"/>
    <n v="5.8599999999999994"/>
    <n v="3163.95"/>
    <x v="959"/>
  </r>
  <r>
    <s v="PRD-1963"/>
    <x v="5"/>
    <x v="4"/>
    <x v="9"/>
    <n v="3.31"/>
    <n v="6.9"/>
    <n v="401"/>
    <x v="329"/>
    <n v="112"/>
    <n v="82"/>
    <x v="1"/>
    <n v="3.5900000000000003"/>
    <n v="1994.1000000000001"/>
    <x v="960"/>
  </r>
  <r>
    <s v="PRD-1964"/>
    <x v="4"/>
    <x v="0"/>
    <x v="5"/>
    <n v="10.82"/>
    <n v="22.98"/>
    <n v="57"/>
    <x v="187"/>
    <n v="13"/>
    <n v="8"/>
    <x v="1"/>
    <n v="12.16"/>
    <n v="1011.12"/>
    <x v="961"/>
  </r>
  <r>
    <s v="PRD-1965"/>
    <x v="51"/>
    <x v="5"/>
    <x v="3"/>
    <n v="10.09"/>
    <n v="21.09"/>
    <n v="407"/>
    <x v="330"/>
    <n v="189"/>
    <n v="87"/>
    <x v="1"/>
    <n v="11"/>
    <n v="4597.62"/>
    <x v="962"/>
  </r>
  <r>
    <s v="PRD-1966"/>
    <x v="1"/>
    <x v="1"/>
    <x v="1"/>
    <n v="18.16"/>
    <n v="30.72"/>
    <n v="219"/>
    <x v="286"/>
    <n v="68"/>
    <n v="30"/>
    <x v="1"/>
    <n v="12.559999999999999"/>
    <n v="4638.72"/>
    <x v="963"/>
  </r>
  <r>
    <s v="PRD-1967"/>
    <x v="24"/>
    <x v="5"/>
    <x v="8"/>
    <n v="11.51"/>
    <n v="19.61"/>
    <n v="143"/>
    <x v="115"/>
    <n v="97"/>
    <n v="21"/>
    <x v="1"/>
    <n v="8.1"/>
    <n v="902.06"/>
    <x v="964"/>
  </r>
  <r>
    <s v="PRD-1968"/>
    <x v="35"/>
    <x v="4"/>
    <x v="8"/>
    <n v="2.0499999999999998"/>
    <n v="2.68"/>
    <n v="88"/>
    <x v="75"/>
    <n v="67"/>
    <n v="9"/>
    <x v="1"/>
    <n v="0.63000000000000034"/>
    <n v="56.28"/>
    <x v="965"/>
  </r>
  <r>
    <s v="PRD-1969"/>
    <x v="68"/>
    <x v="5"/>
    <x v="0"/>
    <n v="8.65"/>
    <n v="17.45"/>
    <n v="467"/>
    <x v="86"/>
    <n v="379"/>
    <n v="92"/>
    <x v="1"/>
    <n v="8.7999999999999989"/>
    <n v="1535.6"/>
    <x v="966"/>
  </r>
  <r>
    <s v="PRD-1970"/>
    <x v="53"/>
    <x v="7"/>
    <x v="6"/>
    <n v="65.02"/>
    <n v="127.42"/>
    <n v="116"/>
    <x v="142"/>
    <n v="93"/>
    <n v="26"/>
    <x v="1"/>
    <n v="62.400000000000006"/>
    <n v="2930.66"/>
    <x v="967"/>
  </r>
  <r>
    <s v="PRD-1971"/>
    <x v="57"/>
    <x v="6"/>
    <x v="6"/>
    <n v="11.13"/>
    <n v="24.2"/>
    <n v="475"/>
    <x v="263"/>
    <n v="53"/>
    <n v="87"/>
    <x v="0"/>
    <n v="13.069999999999999"/>
    <n v="10212.4"/>
    <x v="968"/>
  </r>
  <r>
    <s v="PRD-1972"/>
    <x v="28"/>
    <x v="7"/>
    <x v="7"/>
    <n v="28.54"/>
    <n v="41.86"/>
    <n v="209"/>
    <x v="107"/>
    <n v="164"/>
    <n v="29"/>
    <x v="1"/>
    <n v="13.32"/>
    <n v="1883.7"/>
    <x v="969"/>
  </r>
  <r>
    <s v="PRD-1973"/>
    <x v="76"/>
    <x v="5"/>
    <x v="1"/>
    <n v="9.0399999999999991"/>
    <n v="13.11"/>
    <n v="410"/>
    <x v="60"/>
    <n v="291"/>
    <n v="44"/>
    <x v="1"/>
    <n v="4.07"/>
    <n v="1560.09"/>
    <x v="970"/>
  </r>
  <r>
    <s v="PRD-1974"/>
    <x v="27"/>
    <x v="7"/>
    <x v="7"/>
    <n v="73.680000000000007"/>
    <n v="145.51"/>
    <n v="235"/>
    <x v="86"/>
    <n v="147"/>
    <n v="55"/>
    <x v="1"/>
    <n v="71.829999999999984"/>
    <n v="12804.88"/>
    <x v="971"/>
  </r>
  <r>
    <s v="PRD-1975"/>
    <x v="78"/>
    <x v="1"/>
    <x v="0"/>
    <n v="14.13"/>
    <n v="18.79"/>
    <n v="253"/>
    <x v="182"/>
    <n v="38"/>
    <n v="59"/>
    <x v="0"/>
    <n v="4.6599999999999984"/>
    <n v="4039.85"/>
    <x v="972"/>
  </r>
  <r>
    <s v="PRD-1976"/>
    <x v="21"/>
    <x v="2"/>
    <x v="6"/>
    <n v="8.6"/>
    <n v="18.34"/>
    <n v="56"/>
    <x v="4"/>
    <n v="48"/>
    <n v="12"/>
    <x v="1"/>
    <n v="9.74"/>
    <n v="146.72"/>
    <x v="973"/>
  </r>
  <r>
    <s v="PRD-1977"/>
    <x v="30"/>
    <x v="4"/>
    <x v="7"/>
    <n v="5.19"/>
    <n v="11.39"/>
    <n v="233"/>
    <x v="37"/>
    <n v="208"/>
    <n v="29"/>
    <x v="1"/>
    <n v="6.2"/>
    <n v="284.75"/>
    <x v="974"/>
  </r>
  <r>
    <s v="PRD-1978"/>
    <x v="55"/>
    <x v="1"/>
    <x v="2"/>
    <n v="7.7"/>
    <n v="14.41"/>
    <n v="37"/>
    <x v="154"/>
    <n v="6"/>
    <n v="4"/>
    <x v="1"/>
    <n v="6.71"/>
    <n v="446.71"/>
    <x v="975"/>
  </r>
  <r>
    <s v="PRD-1979"/>
    <x v="68"/>
    <x v="5"/>
    <x v="9"/>
    <n v="12.87"/>
    <n v="23.12"/>
    <n v="377"/>
    <x v="85"/>
    <n v="101"/>
    <n v="84"/>
    <x v="1"/>
    <n v="10.250000000000002"/>
    <n v="6381.12"/>
    <x v="976"/>
  </r>
  <r>
    <s v="PRD-1980"/>
    <x v="37"/>
    <x v="6"/>
    <x v="3"/>
    <n v="18.98"/>
    <n v="33.950000000000003"/>
    <n v="114"/>
    <x v="131"/>
    <n v="80"/>
    <n v="25"/>
    <x v="1"/>
    <n v="14.970000000000002"/>
    <n v="1154.3000000000002"/>
    <x v="977"/>
  </r>
  <r>
    <s v="PRD-1981"/>
    <x v="35"/>
    <x v="4"/>
    <x v="0"/>
    <n v="3.41"/>
    <n v="6.3"/>
    <n v="62"/>
    <x v="50"/>
    <n v="53"/>
    <n v="7"/>
    <x v="1"/>
    <n v="2.8899999999999997"/>
    <n v="56.699999999999996"/>
    <x v="978"/>
  </r>
  <r>
    <s v="PRD-1982"/>
    <x v="73"/>
    <x v="5"/>
    <x v="0"/>
    <n v="5.76"/>
    <n v="9.3800000000000008"/>
    <n v="308"/>
    <x v="214"/>
    <n v="196"/>
    <n v="70"/>
    <x v="1"/>
    <n v="3.620000000000001"/>
    <n v="1050.5600000000002"/>
    <x v="979"/>
  </r>
  <r>
    <s v="PRD-1983"/>
    <x v="78"/>
    <x v="1"/>
    <x v="0"/>
    <n v="2.2599999999999998"/>
    <n v="4.51"/>
    <n v="439"/>
    <x v="331"/>
    <n v="178"/>
    <n v="84"/>
    <x v="1"/>
    <n v="2.25"/>
    <n v="1177.1099999999999"/>
    <x v="980"/>
  </r>
  <r>
    <s v="PRD-1984"/>
    <x v="64"/>
    <x v="2"/>
    <x v="7"/>
    <n v="10.71"/>
    <n v="15.66"/>
    <n v="273"/>
    <x v="96"/>
    <n v="41"/>
    <n v="27"/>
    <x v="1"/>
    <n v="4.9499999999999993"/>
    <n v="3633.12"/>
    <x v="981"/>
  </r>
  <r>
    <s v="PRD-1985"/>
    <x v="74"/>
    <x v="0"/>
    <x v="2"/>
    <n v="2.66"/>
    <n v="5.07"/>
    <n v="150"/>
    <x v="106"/>
    <n v="83"/>
    <n v="15"/>
    <x v="1"/>
    <n v="2.41"/>
    <n v="339.69"/>
    <x v="982"/>
  </r>
  <r>
    <s v="PRD-1986"/>
    <x v="10"/>
    <x v="5"/>
    <x v="8"/>
    <n v="5.46"/>
    <n v="10.76"/>
    <n v="285"/>
    <x v="77"/>
    <n v="237"/>
    <n v="47"/>
    <x v="1"/>
    <n v="5.3"/>
    <n v="516.48"/>
    <x v="983"/>
  </r>
  <r>
    <s v="PRD-1987"/>
    <x v="20"/>
    <x v="3"/>
    <x v="4"/>
    <n v="9.4"/>
    <n v="14.52"/>
    <n v="154"/>
    <x v="120"/>
    <n v="19"/>
    <n v="26"/>
    <x v="0"/>
    <n v="5.1199999999999992"/>
    <n v="1960.2"/>
    <x v="984"/>
  </r>
  <r>
    <s v="PRD-1988"/>
    <x v="2"/>
    <x v="2"/>
    <x v="8"/>
    <n v="20.059999999999999"/>
    <n v="40.630000000000003"/>
    <n v="313"/>
    <x v="280"/>
    <n v="224"/>
    <n v="43"/>
    <x v="1"/>
    <n v="20.570000000000004"/>
    <n v="3616.07"/>
    <x v="985"/>
  </r>
  <r>
    <s v="PRD-1989"/>
    <x v="78"/>
    <x v="1"/>
    <x v="2"/>
    <n v="7.78"/>
    <n v="11.35"/>
    <n v="398"/>
    <x v="269"/>
    <n v="168"/>
    <n v="80"/>
    <x v="1"/>
    <n v="3.5699999999999994"/>
    <n v="2610.5"/>
    <x v="986"/>
  </r>
  <r>
    <s v="PRD-1990"/>
    <x v="51"/>
    <x v="5"/>
    <x v="4"/>
    <n v="12.46"/>
    <n v="20.79"/>
    <n v="49"/>
    <x v="64"/>
    <n v="19"/>
    <n v="11"/>
    <x v="1"/>
    <n v="8.3299999999999983"/>
    <n v="623.69999999999993"/>
    <x v="987"/>
  </r>
  <r>
    <s v="PRD-1991"/>
    <x v="6"/>
    <x v="0"/>
    <x v="7"/>
    <n v="9.0500000000000007"/>
    <n v="19.52"/>
    <n v="328"/>
    <x v="256"/>
    <n v="95"/>
    <n v="60"/>
    <x v="1"/>
    <n v="10.469999999999999"/>
    <n v="4548.16"/>
    <x v="988"/>
  </r>
  <r>
    <s v="PRD-1992"/>
    <x v="19"/>
    <x v="2"/>
    <x v="3"/>
    <n v="13.18"/>
    <n v="19.72"/>
    <n v="379"/>
    <x v="199"/>
    <n v="218"/>
    <n v="39"/>
    <x v="1"/>
    <n v="6.5399999999999991"/>
    <n v="3174.9199999999996"/>
    <x v="989"/>
  </r>
  <r>
    <s v="PRD-1993"/>
    <x v="20"/>
    <x v="3"/>
    <x v="2"/>
    <n v="11.68"/>
    <n v="19.760000000000002"/>
    <n v="355"/>
    <x v="332"/>
    <n v="179"/>
    <n v="83"/>
    <x v="1"/>
    <n v="8.0800000000000018"/>
    <n v="3477.76"/>
    <x v="990"/>
  </r>
  <r>
    <s v="PRD-1994"/>
    <x v="77"/>
    <x v="7"/>
    <x v="0"/>
    <n v="40.42"/>
    <n v="82.35"/>
    <n v="51"/>
    <x v="79"/>
    <n v="34"/>
    <n v="10"/>
    <x v="1"/>
    <n v="41.929999999999993"/>
    <n v="1399.9499999999998"/>
    <x v="991"/>
  </r>
  <r>
    <s v="PRD-1995"/>
    <x v="12"/>
    <x v="6"/>
    <x v="8"/>
    <n v="8.01"/>
    <n v="10.74"/>
    <n v="451"/>
    <x v="62"/>
    <n v="245"/>
    <n v="101"/>
    <x v="1"/>
    <n v="2.7300000000000004"/>
    <n v="2212.44"/>
    <x v="992"/>
  </r>
  <r>
    <s v="PRD-1996"/>
    <x v="26"/>
    <x v="3"/>
    <x v="4"/>
    <n v="14.4"/>
    <n v="19.260000000000002"/>
    <n v="25"/>
    <x v="248"/>
    <n v="13"/>
    <n v="2"/>
    <x v="1"/>
    <n v="4.8600000000000012"/>
    <n v="231.12"/>
    <x v="993"/>
  </r>
  <r>
    <s v="PRD-1997"/>
    <x v="16"/>
    <x v="0"/>
    <x v="7"/>
    <n v="3.64"/>
    <n v="5.04"/>
    <n v="175"/>
    <x v="99"/>
    <n v="79"/>
    <n v="28"/>
    <x v="1"/>
    <n v="1.4"/>
    <n v="483.84000000000003"/>
    <x v="994"/>
  </r>
  <r>
    <s v="PRD-1998"/>
    <x v="46"/>
    <x v="7"/>
    <x v="0"/>
    <n v="13.85"/>
    <n v="21.3"/>
    <n v="147"/>
    <x v="220"/>
    <n v="81"/>
    <n v="21"/>
    <x v="1"/>
    <n v="7.4500000000000011"/>
    <n v="1405.8"/>
    <x v="995"/>
  </r>
  <r>
    <s v="PRD-1999"/>
    <x v="78"/>
    <x v="1"/>
    <x v="3"/>
    <n v="17.47"/>
    <n v="24.42"/>
    <n v="144"/>
    <x v="150"/>
    <n v="20"/>
    <n v="18"/>
    <x v="1"/>
    <n v="6.9500000000000028"/>
    <n v="3028.0800000000004"/>
    <x v="996"/>
  </r>
  <r>
    <s v="PRD-2000"/>
    <x v="50"/>
    <x v="3"/>
    <x v="9"/>
    <n v="2.58"/>
    <n v="5.05"/>
    <n v="134"/>
    <x v="118"/>
    <n v="56"/>
    <n v="24"/>
    <x v="1"/>
    <n v="2.4699999999999998"/>
    <n v="393.9"/>
    <x v="997"/>
  </r>
  <r>
    <m/>
    <x v="80"/>
    <x v="8"/>
    <x v="10"/>
    <m/>
    <m/>
    <m/>
    <x v="333"/>
    <m/>
    <m/>
    <x v="2"/>
    <m/>
    <m/>
    <x v="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3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3:B9" firstHeaderRow="1" firstDataRow="1" firstDataCol="1"/>
  <pivotFields count="14">
    <pivotField showAll="0"/>
    <pivotField axis="axisRow" showAll="0" measureFilter="1" sortType="descending">
      <items count="82">
        <item x="3"/>
        <item x="74"/>
        <item x="68"/>
        <item x="57"/>
        <item x="37"/>
        <item x="58"/>
        <item x="13"/>
        <item x="73"/>
        <item x="28"/>
        <item x="70"/>
        <item x="44"/>
        <item x="20"/>
        <item x="66"/>
        <item x="64"/>
        <item x="39"/>
        <item x="12"/>
        <item x="50"/>
        <item x="61"/>
        <item x="22"/>
        <item x="55"/>
        <item x="23"/>
        <item x="54"/>
        <item x="17"/>
        <item x="15"/>
        <item x="6"/>
        <item x="5"/>
        <item x="18"/>
        <item x="1"/>
        <item x="14"/>
        <item x="45"/>
        <item x="21"/>
        <item x="47"/>
        <item x="34"/>
        <item x="65"/>
        <item x="78"/>
        <item x="27"/>
        <item x="51"/>
        <item x="7"/>
        <item x="69"/>
        <item x="49"/>
        <item x="32"/>
        <item x="9"/>
        <item x="77"/>
        <item x="33"/>
        <item x="52"/>
        <item x="60"/>
        <item x="76"/>
        <item x="11"/>
        <item x="48"/>
        <item x="79"/>
        <item x="62"/>
        <item x="29"/>
        <item x="42"/>
        <item x="53"/>
        <item x="36"/>
        <item x="2"/>
        <item x="30"/>
        <item x="31"/>
        <item x="40"/>
        <item x="4"/>
        <item x="26"/>
        <item x="56"/>
        <item x="59"/>
        <item x="25"/>
        <item x="10"/>
        <item x="71"/>
        <item x="41"/>
        <item x="24"/>
        <item x="63"/>
        <item x="35"/>
        <item x="67"/>
        <item x="16"/>
        <item x="19"/>
        <item x="43"/>
        <item x="38"/>
        <item x="0"/>
        <item x="46"/>
        <item x="8"/>
        <item x="75"/>
        <item x="72"/>
        <item x="8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>
      <items count="335">
        <item x="200"/>
        <item x="296"/>
        <item x="18"/>
        <item x="6"/>
        <item x="76"/>
        <item x="4"/>
        <item x="50"/>
        <item x="1"/>
        <item x="56"/>
        <item x="248"/>
        <item x="285"/>
        <item x="9"/>
        <item x="128"/>
        <item x="30"/>
        <item x="79"/>
        <item x="136"/>
        <item x="65"/>
        <item x="226"/>
        <item x="75"/>
        <item x="22"/>
        <item x="142"/>
        <item x="254"/>
        <item x="37"/>
        <item x="66"/>
        <item x="90"/>
        <item x="266"/>
        <item x="114"/>
        <item x="64"/>
        <item x="154"/>
        <item x="27"/>
        <item x="38"/>
        <item x="131"/>
        <item x="176"/>
        <item x="94"/>
        <item x="55"/>
        <item x="44"/>
        <item x="81"/>
        <item x="127"/>
        <item x="17"/>
        <item x="71"/>
        <item x="52"/>
        <item x="187"/>
        <item x="107"/>
        <item x="115"/>
        <item x="117"/>
        <item x="77"/>
        <item x="210"/>
        <item x="232"/>
        <item x="202"/>
        <item x="5"/>
        <item x="32"/>
        <item x="183"/>
        <item x="49"/>
        <item x="57"/>
        <item x="197"/>
        <item x="61"/>
        <item x="8"/>
        <item x="93"/>
        <item x="193"/>
        <item x="104"/>
        <item x="97"/>
        <item x="211"/>
        <item x="58"/>
        <item x="220"/>
        <item x="106"/>
        <item x="219"/>
        <item x="141"/>
        <item x="110"/>
        <item x="164"/>
        <item x="7"/>
        <item x="91"/>
        <item x="236"/>
        <item x="51"/>
        <item x="46"/>
        <item x="123"/>
        <item x="118"/>
        <item x="245"/>
        <item x="229"/>
        <item x="184"/>
        <item x="70"/>
        <item x="10"/>
        <item x="126"/>
        <item x="108"/>
        <item x="272"/>
        <item x="267"/>
        <item x="86"/>
        <item x="280"/>
        <item x="100"/>
        <item x="20"/>
        <item x="274"/>
        <item x="125"/>
        <item x="53"/>
        <item x="195"/>
        <item x="99"/>
        <item x="63"/>
        <item x="312"/>
        <item x="14"/>
        <item x="201"/>
        <item x="80"/>
        <item x="26"/>
        <item x="198"/>
        <item x="59"/>
        <item x="194"/>
        <item x="203"/>
        <item x="238"/>
        <item x="35"/>
        <item x="171"/>
        <item x="12"/>
        <item x="186"/>
        <item x="214"/>
        <item x="246"/>
        <item x="28"/>
        <item x="105"/>
        <item x="73"/>
        <item x="138"/>
        <item x="0"/>
        <item x="60"/>
        <item x="281"/>
        <item x="273"/>
        <item x="124"/>
        <item x="320"/>
        <item x="150"/>
        <item x="168"/>
        <item x="148"/>
        <item x="162"/>
        <item x="227"/>
        <item x="48"/>
        <item x="317"/>
        <item x="178"/>
        <item x="78"/>
        <item x="146"/>
        <item x="120"/>
        <item x="223"/>
        <item x="34"/>
        <item x="151"/>
        <item x="180"/>
        <item x="3"/>
        <item x="292"/>
        <item x="101"/>
        <item x="13"/>
        <item x="242"/>
        <item x="188"/>
        <item x="41"/>
        <item x="277"/>
        <item x="84"/>
        <item x="132"/>
        <item x="69"/>
        <item x="286"/>
        <item x="72"/>
        <item x="309"/>
        <item x="83"/>
        <item x="327"/>
        <item x="33"/>
        <item x="153"/>
        <item x="54"/>
        <item x="29"/>
        <item x="255"/>
        <item x="199"/>
        <item x="134"/>
        <item x="139"/>
        <item x="47"/>
        <item x="167"/>
        <item x="218"/>
        <item x="172"/>
        <item x="170"/>
        <item x="25"/>
        <item x="158"/>
        <item x="324"/>
        <item x="332"/>
        <item x="87"/>
        <item x="68"/>
        <item x="208"/>
        <item x="326"/>
        <item x="228"/>
        <item x="161"/>
        <item x="21"/>
        <item x="112"/>
        <item x="155"/>
        <item x="144"/>
        <item x="260"/>
        <item x="308"/>
        <item x="268"/>
        <item x="133"/>
        <item x="259"/>
        <item x="265"/>
        <item x="249"/>
        <item x="240"/>
        <item x="2"/>
        <item x="313"/>
        <item x="192"/>
        <item x="310"/>
        <item x="95"/>
        <item x="252"/>
        <item x="166"/>
        <item x="135"/>
        <item x="204"/>
        <item x="67"/>
        <item x="62"/>
        <item x="217"/>
        <item x="258"/>
        <item x="11"/>
        <item x="147"/>
        <item x="122"/>
        <item x="182"/>
        <item x="301"/>
        <item x="235"/>
        <item x="330"/>
        <item x="283"/>
        <item x="251"/>
        <item x="42"/>
        <item x="304"/>
        <item x="143"/>
        <item x="269"/>
        <item x="196"/>
        <item x="96"/>
        <item x="256"/>
        <item x="169"/>
        <item x="207"/>
        <item x="181"/>
        <item x="88"/>
        <item x="43"/>
        <item x="250"/>
        <item x="318"/>
        <item x="321"/>
        <item x="149"/>
        <item x="40"/>
        <item x="328"/>
        <item x="175"/>
        <item x="159"/>
        <item x="231"/>
        <item x="262"/>
        <item x="216"/>
        <item x="311"/>
        <item x="253"/>
        <item x="221"/>
        <item x="257"/>
        <item x="24"/>
        <item x="306"/>
        <item x="331"/>
        <item x="271"/>
        <item x="323"/>
        <item x="98"/>
        <item x="314"/>
        <item x="230"/>
        <item x="157"/>
        <item x="152"/>
        <item x="130"/>
        <item x="173"/>
        <item x="129"/>
        <item x="85"/>
        <item x="225"/>
        <item x="92"/>
        <item x="177"/>
        <item x="145"/>
        <item x="215"/>
        <item x="275"/>
        <item x="224"/>
        <item x="45"/>
        <item x="31"/>
        <item x="329"/>
        <item x="39"/>
        <item x="19"/>
        <item x="140"/>
        <item x="289"/>
        <item x="282"/>
        <item x="190"/>
        <item x="213"/>
        <item x="293"/>
        <item x="189"/>
        <item x="264"/>
        <item x="165"/>
        <item x="295"/>
        <item x="205"/>
        <item x="137"/>
        <item x="319"/>
        <item x="298"/>
        <item x="237"/>
        <item x="23"/>
        <item x="247"/>
        <item x="209"/>
        <item x="89"/>
        <item x="303"/>
        <item x="36"/>
        <item x="174"/>
        <item x="284"/>
        <item x="116"/>
        <item x="212"/>
        <item x="279"/>
        <item x="261"/>
        <item x="111"/>
        <item x="278"/>
        <item x="316"/>
        <item x="179"/>
        <item x="297"/>
        <item x="294"/>
        <item x="239"/>
        <item x="16"/>
        <item x="234"/>
        <item x="82"/>
        <item x="276"/>
        <item x="119"/>
        <item x="233"/>
        <item x="206"/>
        <item x="160"/>
        <item x="300"/>
        <item x="222"/>
        <item x="113"/>
        <item x="305"/>
        <item x="102"/>
        <item x="185"/>
        <item x="299"/>
        <item x="290"/>
        <item x="322"/>
        <item x="15"/>
        <item x="191"/>
        <item x="315"/>
        <item x="109"/>
        <item x="270"/>
        <item x="288"/>
        <item x="156"/>
        <item x="121"/>
        <item x="103"/>
        <item x="74"/>
        <item x="244"/>
        <item x="241"/>
        <item x="325"/>
        <item x="263"/>
        <item x="163"/>
        <item x="307"/>
        <item x="287"/>
        <item x="302"/>
        <item x="243"/>
        <item x="291"/>
        <item x="33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 v="53"/>
    </i>
    <i>
      <x v="27"/>
    </i>
    <i>
      <x v="62"/>
    </i>
    <i>
      <x v="18"/>
    </i>
    <i>
      <x v="25"/>
    </i>
    <i t="grand">
      <x/>
    </i>
  </rowItems>
  <colItems count="1">
    <i/>
  </colItems>
  <dataFields count="1">
    <dataField name="Sum of Units Sold" fld="7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3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3:B12" firstHeaderRow="1" firstDataRow="1" firstDataCol="1"/>
  <pivotFields count="14">
    <pivotField showAll="0"/>
    <pivotField showAll="0" sortType="descending">
      <items count="82">
        <item x="3"/>
        <item x="74"/>
        <item x="68"/>
        <item x="57"/>
        <item x="37"/>
        <item x="58"/>
        <item x="13"/>
        <item x="73"/>
        <item x="28"/>
        <item x="70"/>
        <item x="44"/>
        <item x="20"/>
        <item x="66"/>
        <item x="64"/>
        <item x="39"/>
        <item x="12"/>
        <item x="50"/>
        <item x="61"/>
        <item x="22"/>
        <item x="55"/>
        <item x="23"/>
        <item x="54"/>
        <item x="17"/>
        <item x="15"/>
        <item x="6"/>
        <item x="5"/>
        <item x="18"/>
        <item x="1"/>
        <item x="14"/>
        <item x="45"/>
        <item x="21"/>
        <item x="47"/>
        <item x="34"/>
        <item x="65"/>
        <item x="78"/>
        <item x="27"/>
        <item x="51"/>
        <item x="7"/>
        <item x="69"/>
        <item x="49"/>
        <item x="32"/>
        <item x="9"/>
        <item x="77"/>
        <item x="33"/>
        <item x="52"/>
        <item x="60"/>
        <item x="76"/>
        <item x="11"/>
        <item x="48"/>
        <item x="79"/>
        <item x="62"/>
        <item x="29"/>
        <item x="42"/>
        <item x="53"/>
        <item x="36"/>
        <item x="2"/>
        <item x="30"/>
        <item x="31"/>
        <item x="40"/>
        <item x="4"/>
        <item x="26"/>
        <item x="56"/>
        <item x="59"/>
        <item x="25"/>
        <item x="10"/>
        <item x="71"/>
        <item x="41"/>
        <item x="24"/>
        <item x="63"/>
        <item x="35"/>
        <item x="67"/>
        <item x="16"/>
        <item x="19"/>
        <item x="43"/>
        <item x="38"/>
        <item x="0"/>
        <item x="46"/>
        <item x="8"/>
        <item x="75"/>
        <item x="72"/>
        <item x="8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0">
        <item x="1"/>
        <item x="6"/>
        <item x="7"/>
        <item x="4"/>
        <item x="0"/>
        <item x="5"/>
        <item x="2"/>
        <item x="3"/>
        <item h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9">
    <i>
      <x v="2"/>
    </i>
    <i>
      <x v="7"/>
    </i>
    <i>
      <x v="1"/>
    </i>
    <i>
      <x v="4"/>
    </i>
    <i>
      <x v="6"/>
    </i>
    <i>
      <x/>
    </i>
    <i>
      <x v="5"/>
    </i>
    <i>
      <x v="3"/>
    </i>
    <i t="grand">
      <x/>
    </i>
  </rowItems>
  <colItems count="1">
    <i/>
  </colItems>
  <dataFields count="1">
    <dataField name="Sum of Potential Revenue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3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4" firstHeaderRow="1" firstDataRow="1" firstDataCol="1"/>
  <pivotFields count="14">
    <pivotField showAll="0"/>
    <pivotField axis="axisRow" showAll="0" sortType="descending">
      <items count="82">
        <item x="3"/>
        <item x="74"/>
        <item x="68"/>
        <item x="57"/>
        <item x="37"/>
        <item x="58"/>
        <item x="13"/>
        <item x="73"/>
        <item x="28"/>
        <item x="70"/>
        <item x="44"/>
        <item x="20"/>
        <item x="66"/>
        <item x="64"/>
        <item x="39"/>
        <item x="12"/>
        <item x="50"/>
        <item x="61"/>
        <item x="22"/>
        <item x="55"/>
        <item x="23"/>
        <item x="54"/>
        <item x="17"/>
        <item x="15"/>
        <item x="6"/>
        <item x="5"/>
        <item x="18"/>
        <item x="1"/>
        <item x="14"/>
        <item x="45"/>
        <item x="21"/>
        <item x="47"/>
        <item x="34"/>
        <item x="65"/>
        <item x="78"/>
        <item x="27"/>
        <item x="51"/>
        <item x="7"/>
        <item x="69"/>
        <item x="49"/>
        <item x="32"/>
        <item x="9"/>
        <item x="77"/>
        <item x="33"/>
        <item x="52"/>
        <item x="60"/>
        <item x="76"/>
        <item x="11"/>
        <item x="48"/>
        <item x="79"/>
        <item x="62"/>
        <item x="29"/>
        <item x="42"/>
        <item x="53"/>
        <item x="36"/>
        <item x="2"/>
        <item x="30"/>
        <item x="31"/>
        <item x="40"/>
        <item x="4"/>
        <item x="26"/>
        <item x="56"/>
        <item x="59"/>
        <item x="25"/>
        <item x="10"/>
        <item x="71"/>
        <item x="41"/>
        <item x="24"/>
        <item x="63"/>
        <item x="35"/>
        <item x="67"/>
        <item x="16"/>
        <item x="19"/>
        <item x="43"/>
        <item x="38"/>
        <item x="0"/>
        <item x="46"/>
        <item x="8"/>
        <item x="75"/>
        <item x="72"/>
        <item h="1" x="8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81">
    <i>
      <x v="53"/>
    </i>
    <i>
      <x v="42"/>
    </i>
    <i>
      <x v="50"/>
    </i>
    <i>
      <x v="70"/>
    </i>
    <i>
      <x v="35"/>
    </i>
    <i>
      <x v="8"/>
    </i>
    <i>
      <x v="58"/>
    </i>
    <i>
      <x v="61"/>
    </i>
    <i>
      <x v="76"/>
    </i>
    <i>
      <x v="73"/>
    </i>
    <i>
      <x v="4"/>
    </i>
    <i>
      <x v="3"/>
    </i>
    <i>
      <x v="18"/>
    </i>
    <i>
      <x/>
    </i>
    <i>
      <x v="27"/>
    </i>
    <i>
      <x v="68"/>
    </i>
    <i>
      <x v="71"/>
    </i>
    <i>
      <x v="60"/>
    </i>
    <i>
      <x v="74"/>
    </i>
    <i>
      <x v="1"/>
    </i>
    <i>
      <x v="75"/>
    </i>
    <i>
      <x v="11"/>
    </i>
    <i>
      <x v="51"/>
    </i>
    <i>
      <x v="55"/>
    </i>
    <i>
      <x v="62"/>
    </i>
    <i>
      <x v="12"/>
    </i>
    <i>
      <x v="41"/>
    </i>
    <i>
      <x v="39"/>
    </i>
    <i>
      <x v="43"/>
    </i>
    <i>
      <x v="78"/>
    </i>
    <i>
      <x v="24"/>
    </i>
    <i>
      <x v="57"/>
    </i>
    <i>
      <x v="77"/>
    </i>
    <i>
      <x v="21"/>
    </i>
    <i>
      <x v="34"/>
    </i>
    <i>
      <x v="36"/>
    </i>
    <i>
      <x v="15"/>
    </i>
    <i>
      <x v="45"/>
    </i>
    <i>
      <x v="26"/>
    </i>
    <i>
      <x v="5"/>
    </i>
    <i>
      <x v="30"/>
    </i>
    <i>
      <x v="20"/>
    </i>
    <i>
      <x v="10"/>
    </i>
    <i>
      <x v="17"/>
    </i>
    <i>
      <x v="9"/>
    </i>
    <i>
      <x v="59"/>
    </i>
    <i>
      <x v="66"/>
    </i>
    <i>
      <x v="54"/>
    </i>
    <i>
      <x v="65"/>
    </i>
    <i>
      <x v="16"/>
    </i>
    <i>
      <x v="29"/>
    </i>
    <i>
      <x v="22"/>
    </i>
    <i>
      <x v="44"/>
    </i>
    <i>
      <x v="52"/>
    </i>
    <i>
      <x v="79"/>
    </i>
    <i>
      <x v="33"/>
    </i>
    <i>
      <x v="13"/>
    </i>
    <i>
      <x v="19"/>
    </i>
    <i>
      <x v="67"/>
    </i>
    <i>
      <x v="6"/>
    </i>
    <i>
      <x v="25"/>
    </i>
    <i>
      <x v="37"/>
    </i>
    <i>
      <x v="63"/>
    </i>
    <i>
      <x v="2"/>
    </i>
    <i>
      <x v="64"/>
    </i>
    <i>
      <x v="56"/>
    </i>
    <i>
      <x v="48"/>
    </i>
    <i>
      <x v="31"/>
    </i>
    <i>
      <x v="32"/>
    </i>
    <i>
      <x v="49"/>
    </i>
    <i>
      <x v="72"/>
    </i>
    <i>
      <x v="69"/>
    </i>
    <i>
      <x v="47"/>
    </i>
    <i>
      <x v="14"/>
    </i>
    <i>
      <x v="23"/>
    </i>
    <i>
      <x v="7"/>
    </i>
    <i>
      <x v="46"/>
    </i>
    <i>
      <x v="40"/>
    </i>
    <i>
      <x v="28"/>
    </i>
    <i>
      <x v="38"/>
    </i>
    <i t="grand">
      <x/>
    </i>
  </rowItems>
  <colItems count="1">
    <i/>
  </colItems>
  <dataFields count="1">
    <dataField name="Sum of Potential Profit" fld="13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8" cacheId="3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12" firstHeaderRow="1" firstDataRow="1" firstDataCol="1"/>
  <pivotFields count="14">
    <pivotField showAll="0"/>
    <pivotField showAll="0"/>
    <pivotField axis="axisRow" showAll="0" sortType="descending">
      <items count="10">
        <item x="1"/>
        <item x="6"/>
        <item x="7"/>
        <item x="4"/>
        <item x="0"/>
        <item x="5"/>
        <item x="2"/>
        <item x="3"/>
        <item h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9">
    <i>
      <x v="2"/>
    </i>
    <i>
      <x v="7"/>
    </i>
    <i>
      <x v="1"/>
    </i>
    <i>
      <x v="4"/>
    </i>
    <i>
      <x v="6"/>
    </i>
    <i>
      <x/>
    </i>
    <i>
      <x v="5"/>
    </i>
    <i>
      <x v="3"/>
    </i>
    <i t="grand">
      <x/>
    </i>
  </rowItems>
  <colItems count="1">
    <i/>
  </colItems>
  <dataFields count="1">
    <dataField name="Sum of Potential Profit" fld="13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9" cacheId="3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4" firstHeaderRow="1" firstDataRow="1" firstDataCol="1"/>
  <pivotFields count="14">
    <pivotField showAll="0"/>
    <pivotField axis="axisRow" showAll="0" sortType="ascending">
      <items count="82">
        <item x="3"/>
        <item x="74"/>
        <item x="68"/>
        <item x="57"/>
        <item x="37"/>
        <item x="58"/>
        <item x="13"/>
        <item x="73"/>
        <item x="28"/>
        <item x="70"/>
        <item x="44"/>
        <item x="20"/>
        <item x="66"/>
        <item x="64"/>
        <item x="39"/>
        <item x="12"/>
        <item x="50"/>
        <item x="61"/>
        <item x="22"/>
        <item x="55"/>
        <item x="23"/>
        <item x="54"/>
        <item x="17"/>
        <item x="15"/>
        <item x="6"/>
        <item x="5"/>
        <item x="18"/>
        <item x="1"/>
        <item x="14"/>
        <item x="45"/>
        <item x="21"/>
        <item x="47"/>
        <item x="34"/>
        <item x="65"/>
        <item x="78"/>
        <item x="27"/>
        <item x="51"/>
        <item x="7"/>
        <item x="69"/>
        <item x="49"/>
        <item x="32"/>
        <item x="9"/>
        <item x="77"/>
        <item x="33"/>
        <item x="52"/>
        <item x="60"/>
        <item x="76"/>
        <item x="11"/>
        <item x="48"/>
        <item x="79"/>
        <item x="62"/>
        <item x="29"/>
        <item x="42"/>
        <item x="53"/>
        <item x="36"/>
        <item x="2"/>
        <item x="30"/>
        <item x="31"/>
        <item x="40"/>
        <item x="4"/>
        <item x="26"/>
        <item x="56"/>
        <item x="59"/>
        <item x="25"/>
        <item x="10"/>
        <item x="71"/>
        <item x="41"/>
        <item x="24"/>
        <item x="63"/>
        <item x="35"/>
        <item x="67"/>
        <item x="16"/>
        <item x="19"/>
        <item x="43"/>
        <item x="38"/>
        <item x="0"/>
        <item x="46"/>
        <item x="8"/>
        <item x="75"/>
        <item x="72"/>
        <item h="1" x="8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81">
    <i>
      <x v="16"/>
    </i>
    <i>
      <x v="54"/>
    </i>
    <i>
      <x v="43"/>
    </i>
    <i>
      <x v="14"/>
    </i>
    <i>
      <x v="22"/>
    </i>
    <i>
      <x v="51"/>
    </i>
    <i>
      <x v="28"/>
    </i>
    <i>
      <x v="65"/>
    </i>
    <i>
      <x v="2"/>
    </i>
    <i>
      <x v="40"/>
    </i>
    <i>
      <x v="44"/>
    </i>
    <i>
      <x v="38"/>
    </i>
    <i>
      <x v="58"/>
    </i>
    <i>
      <x v="61"/>
    </i>
    <i>
      <x v="42"/>
    </i>
    <i>
      <x v="4"/>
    </i>
    <i>
      <x v="76"/>
    </i>
    <i>
      <x v="33"/>
    </i>
    <i>
      <x v="31"/>
    </i>
    <i>
      <x v="17"/>
    </i>
    <i>
      <x v="78"/>
    </i>
    <i>
      <x v="6"/>
    </i>
    <i>
      <x v="73"/>
    </i>
    <i>
      <x v="74"/>
    </i>
    <i>
      <x v="23"/>
    </i>
    <i>
      <x v="20"/>
    </i>
    <i>
      <x v="50"/>
    </i>
    <i>
      <x v="1"/>
    </i>
    <i>
      <x v="13"/>
    </i>
    <i>
      <x v="35"/>
    </i>
    <i>
      <x v="21"/>
    </i>
    <i>
      <x v="19"/>
    </i>
    <i>
      <x v="46"/>
    </i>
    <i>
      <x v="59"/>
    </i>
    <i>
      <x v="18"/>
    </i>
    <i>
      <x v="12"/>
    </i>
    <i>
      <x v="72"/>
    </i>
    <i>
      <x v="52"/>
    </i>
    <i>
      <x v="30"/>
    </i>
    <i>
      <x v="70"/>
    </i>
    <i>
      <x/>
    </i>
    <i>
      <x v="39"/>
    </i>
    <i>
      <x v="69"/>
    </i>
    <i>
      <x v="79"/>
    </i>
    <i>
      <x v="32"/>
    </i>
    <i>
      <x v="37"/>
    </i>
    <i>
      <x v="15"/>
    </i>
    <i>
      <x v="11"/>
    </i>
    <i>
      <x v="5"/>
    </i>
    <i>
      <x v="56"/>
    </i>
    <i>
      <x v="71"/>
    </i>
    <i>
      <x v="63"/>
    </i>
    <i>
      <x v="41"/>
    </i>
    <i>
      <x v="45"/>
    </i>
    <i>
      <x v="68"/>
    </i>
    <i>
      <x v="29"/>
    </i>
    <i>
      <x v="49"/>
    </i>
    <i>
      <x v="9"/>
    </i>
    <i>
      <x v="26"/>
    </i>
    <i>
      <x v="24"/>
    </i>
    <i>
      <x v="47"/>
    </i>
    <i>
      <x v="66"/>
    </i>
    <i>
      <x v="3"/>
    </i>
    <i>
      <x v="77"/>
    </i>
    <i>
      <x v="7"/>
    </i>
    <i>
      <x v="48"/>
    </i>
    <i>
      <x v="53"/>
    </i>
    <i>
      <x v="75"/>
    </i>
    <i>
      <x v="67"/>
    </i>
    <i>
      <x v="25"/>
    </i>
    <i>
      <x v="62"/>
    </i>
    <i>
      <x v="8"/>
    </i>
    <i>
      <x v="64"/>
    </i>
    <i>
      <x v="34"/>
    </i>
    <i>
      <x v="57"/>
    </i>
    <i>
      <x v="36"/>
    </i>
    <i>
      <x v="27"/>
    </i>
    <i>
      <x v="60"/>
    </i>
    <i>
      <x v="10"/>
    </i>
    <i>
      <x v="55"/>
    </i>
    <i t="grand">
      <x/>
    </i>
  </rowItems>
  <colItems count="1">
    <i/>
  </colItems>
  <dataFields count="1">
    <dataField name="Sum of Closing Stock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0" cacheId="3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9" firstHeaderRow="1" firstDataRow="1" firstDataCol="1" rowPageCount="1" colPageCount="1"/>
  <pivotFields count="14">
    <pivotField showAll="0"/>
    <pivotField axis="axisRow" showAll="0" measureFilter="1" sortType="descending">
      <items count="82">
        <item x="3"/>
        <item x="74"/>
        <item x="68"/>
        <item x="57"/>
        <item x="37"/>
        <item x="58"/>
        <item x="13"/>
        <item x="73"/>
        <item x="28"/>
        <item x="70"/>
        <item x="44"/>
        <item x="20"/>
        <item x="66"/>
        <item x="64"/>
        <item x="39"/>
        <item x="12"/>
        <item x="50"/>
        <item x="61"/>
        <item x="22"/>
        <item x="55"/>
        <item x="23"/>
        <item x="54"/>
        <item x="17"/>
        <item x="15"/>
        <item x="6"/>
        <item x="5"/>
        <item x="18"/>
        <item x="1"/>
        <item x="14"/>
        <item x="45"/>
        <item x="21"/>
        <item x="47"/>
        <item x="34"/>
        <item x="65"/>
        <item x="78"/>
        <item x="27"/>
        <item x="51"/>
        <item x="7"/>
        <item x="69"/>
        <item x="49"/>
        <item x="32"/>
        <item x="9"/>
        <item x="77"/>
        <item x="33"/>
        <item x="52"/>
        <item x="60"/>
        <item x="76"/>
        <item x="11"/>
        <item x="48"/>
        <item x="79"/>
        <item x="62"/>
        <item x="29"/>
        <item x="42"/>
        <item x="53"/>
        <item x="36"/>
        <item x="2"/>
        <item x="30"/>
        <item x="31"/>
        <item x="40"/>
        <item x="4"/>
        <item x="26"/>
        <item x="56"/>
        <item x="59"/>
        <item x="25"/>
        <item x="10"/>
        <item x="71"/>
        <item x="41"/>
        <item x="24"/>
        <item x="63"/>
        <item x="35"/>
        <item x="67"/>
        <item x="16"/>
        <item x="19"/>
        <item x="43"/>
        <item x="38"/>
        <item x="0"/>
        <item x="46"/>
        <item x="8"/>
        <item x="75"/>
        <item x="72"/>
        <item x="8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dataField="1" showAll="0"/>
  </pivotFields>
  <rowFields count="1">
    <field x="1"/>
  </rowFields>
  <rowItems count="6">
    <i>
      <x v="42"/>
    </i>
    <i>
      <x v="53"/>
    </i>
    <i>
      <x v="18"/>
    </i>
    <i>
      <x v="35"/>
    </i>
    <i>
      <x v="8"/>
    </i>
    <i t="grand">
      <x/>
    </i>
  </rowItems>
  <colItems count="1">
    <i/>
  </colItems>
  <pageFields count="1">
    <pageField fld="10" hier="-1"/>
  </pageFields>
  <dataFields count="1">
    <dataField name="Sum of Potential Profit" fld="13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1" cacheId="3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2" firstHeaderRow="1" firstDataRow="1" firstDataCol="1"/>
  <pivotFields count="14">
    <pivotField dataField="1" showAll="0"/>
    <pivotField showAll="0"/>
    <pivotField axis="axisRow" showAll="0" sortType="descending">
      <items count="10">
        <item x="1"/>
        <item x="6"/>
        <item x="7"/>
        <item x="4"/>
        <item x="0"/>
        <item x="5"/>
        <item x="2"/>
        <item x="3"/>
        <item h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6"/>
    </i>
    <i>
      <x v="5"/>
    </i>
    <i>
      <x v="2"/>
    </i>
    <i>
      <x v="4"/>
    </i>
    <i>
      <x v="7"/>
    </i>
    <i>
      <x v="3"/>
    </i>
    <i>
      <x v="1"/>
    </i>
    <i t="grand">
      <x/>
    </i>
  </rowItems>
  <colItems count="1">
    <i/>
  </colItems>
  <dataFields count="1">
    <dataField name="Count of Produc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2" cacheId="3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14" firstHeaderRow="0" firstDataRow="1" firstDataCol="1"/>
  <pivotFields count="14">
    <pivotField showAll="0"/>
    <pivotField dataField="1" showAll="0"/>
    <pivotField showAll="0"/>
    <pivotField axis="axisRow" showAll="0" sortType="descending">
      <items count="12">
        <item x="6"/>
        <item x="1"/>
        <item x="8"/>
        <item x="0"/>
        <item x="9"/>
        <item x="2"/>
        <item x="3"/>
        <item x="5"/>
        <item x="4"/>
        <item x="7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000">
        <item x="617"/>
        <item x="907"/>
        <item x="965"/>
        <item x="175"/>
        <item x="51"/>
        <item x="419"/>
        <item x="533"/>
        <item x="891"/>
        <item x="978"/>
        <item x="744"/>
        <item x="948"/>
        <item x="835"/>
        <item x="290"/>
        <item x="325"/>
        <item x="69"/>
        <item x="6"/>
        <item x="88"/>
        <item x="185"/>
        <item x="369"/>
        <item x="302"/>
        <item x="753"/>
        <item x="38"/>
        <item x="420"/>
        <item x="4"/>
        <item x="289"/>
        <item x="575"/>
        <item x="423"/>
        <item x="19"/>
        <item x="139"/>
        <item x="554"/>
        <item x="710"/>
        <item x="9"/>
        <item x="769"/>
        <item x="634"/>
        <item x="993"/>
        <item x="719"/>
        <item x="72"/>
        <item x="618"/>
        <item x="399"/>
        <item x="89"/>
        <item x="76"/>
        <item x="248"/>
        <item x="498"/>
        <item x="822"/>
        <item x="904"/>
        <item x="667"/>
        <item x="895"/>
        <item x="573"/>
        <item x="439"/>
        <item x="348"/>
        <item x="107"/>
        <item x="973"/>
        <item x="318"/>
        <item x="452"/>
        <item x="303"/>
        <item x="760"/>
        <item x="359"/>
        <item x="140"/>
        <item x="378"/>
        <item x="389"/>
        <item x="849"/>
        <item x="761"/>
        <item x="192"/>
        <item x="743"/>
        <item x="613"/>
        <item x="562"/>
        <item x="1"/>
        <item x="643"/>
        <item x="699"/>
        <item x="865"/>
        <item x="899"/>
        <item x="402"/>
        <item x="209"/>
        <item x="463"/>
        <item x="240"/>
        <item x="433"/>
        <item x="200"/>
        <item x="189"/>
        <item x="58"/>
        <item x="825"/>
        <item x="555"/>
        <item x="780"/>
        <item x="46"/>
        <item x="751"/>
        <item x="255"/>
        <item x="296"/>
        <item x="437"/>
        <item x="233"/>
        <item x="645"/>
        <item x="940"/>
        <item x="73"/>
        <item x="328"/>
        <item x="633"/>
        <item x="552"/>
        <item x="556"/>
        <item x="242"/>
        <item x="817"/>
        <item x="57"/>
        <item x="569"/>
        <item x="830"/>
        <item x="994"/>
        <item x="620"/>
        <item x="687"/>
        <item x="352"/>
        <item x="199"/>
        <item x="568"/>
        <item x="365"/>
        <item x="603"/>
        <item x="340"/>
        <item x="893"/>
        <item x="914"/>
        <item x="64"/>
        <item x="477"/>
        <item x="388"/>
        <item x="522"/>
        <item x="96"/>
        <item x="496"/>
        <item x="836"/>
        <item x="697"/>
        <item x="27"/>
        <item x="974"/>
        <item x="650"/>
        <item x="908"/>
        <item x="752"/>
        <item x="551"/>
        <item x="927"/>
        <item x="798"/>
        <item x="982"/>
        <item x="350"/>
        <item x="93"/>
        <item x="735"/>
        <item x="357"/>
        <item x="528"/>
        <item x="317"/>
        <item x="832"/>
        <item x="108"/>
        <item x="53"/>
        <item x="272"/>
        <item x="7"/>
        <item x="55"/>
        <item x="115"/>
        <item x="741"/>
        <item x="349"/>
        <item x="543"/>
        <item x="166"/>
        <item x="12"/>
        <item x="850"/>
        <item x="387"/>
        <item x="78"/>
        <item x="997"/>
        <item x="742"/>
        <item x="784"/>
        <item x="145"/>
        <item x="28"/>
        <item x="572"/>
        <item x="293"/>
        <item x="383"/>
        <item x="376"/>
        <item x="483"/>
        <item x="736"/>
        <item x="678"/>
        <item x="975"/>
        <item x="689"/>
        <item x="648"/>
        <item x="156"/>
        <item x="646"/>
        <item x="23"/>
        <item x="215"/>
        <item x="202"/>
        <item x="503"/>
        <item x="205"/>
        <item x="247"/>
        <item x="105"/>
        <item x="474"/>
        <item x="385"/>
        <item x="856"/>
        <item x="708"/>
        <item x="508"/>
        <item x="576"/>
        <item x="684"/>
        <item x="545"/>
        <item x="361"/>
        <item x="422"/>
        <item x="755"/>
        <item x="715"/>
        <item x="432"/>
        <item x="739"/>
        <item x="484"/>
        <item x="424"/>
        <item x="312"/>
        <item x="956"/>
        <item x="588"/>
        <item x="732"/>
        <item x="677"/>
        <item x="324"/>
        <item x="838"/>
        <item x="642"/>
        <item x="304"/>
        <item x="459"/>
        <item x="987"/>
        <item x="281"/>
        <item x="930"/>
        <item x="983"/>
        <item x="285"/>
        <item x="848"/>
        <item x="344"/>
        <item x="275"/>
        <item x="845"/>
        <item x="440"/>
        <item x="665"/>
        <item x="713"/>
        <item x="928"/>
        <item x="649"/>
        <item x="5"/>
        <item x="694"/>
        <item x="451"/>
        <item x="771"/>
        <item x="356"/>
        <item x="473"/>
        <item x="102"/>
        <item x="815"/>
        <item x="805"/>
        <item x="236"/>
        <item x="931"/>
        <item x="589"/>
        <item x="768"/>
        <item x="237"/>
        <item x="431"/>
        <item x="94"/>
        <item x="594"/>
        <item x="366"/>
        <item x="782"/>
        <item x="50"/>
        <item x="219"/>
        <item x="858"/>
        <item x="86"/>
        <item x="119"/>
        <item x="946"/>
        <item x="336"/>
        <item x="113"/>
        <item x="878"/>
        <item x="408"/>
        <item x="723"/>
        <item x="905"/>
        <item x="615"/>
        <item x="785"/>
        <item x="342"/>
        <item x="953"/>
        <item x="190"/>
        <item x="39"/>
        <item x="531"/>
        <item x="829"/>
        <item x="623"/>
        <item x="701"/>
        <item x="887"/>
        <item x="367"/>
        <item x="98"/>
        <item x="257"/>
        <item x="629"/>
        <item x="611"/>
        <item x="833"/>
        <item x="61"/>
        <item x="917"/>
        <item x="461"/>
        <item x="417"/>
        <item x="582"/>
        <item x="8"/>
        <item x="34"/>
        <item x="198"/>
        <item x="842"/>
        <item x="326"/>
        <item x="668"/>
        <item x="271"/>
        <item x="964"/>
        <item x="267"/>
        <item x="343"/>
        <item x="807"/>
        <item x="943"/>
        <item x="110"/>
        <item x="877"/>
        <item x="151"/>
        <item x="898"/>
        <item x="509"/>
        <item x="228"/>
        <item x="407"/>
        <item x="466"/>
        <item x="196"/>
        <item x="889"/>
        <item x="68"/>
        <item x="70"/>
        <item x="223"/>
        <item x="497"/>
        <item x="979"/>
        <item x="54"/>
        <item x="764"/>
        <item x="443"/>
        <item x="391"/>
        <item x="485"/>
        <item x="411"/>
        <item x="181"/>
        <item x="512"/>
        <item x="10"/>
        <item x="932"/>
        <item x="301"/>
        <item x="135"/>
        <item x="31"/>
        <item x="843"/>
        <item x="637"/>
        <item x="608"/>
        <item x="319"/>
        <item x="612"/>
        <item x="71"/>
        <item x="360"/>
        <item x="210"/>
        <item x="321"/>
        <item x="269"/>
        <item x="863"/>
        <item x="828"/>
        <item x="857"/>
        <item x="653"/>
        <item x="323"/>
        <item x="211"/>
        <item x="876"/>
        <item x="90"/>
        <item x="291"/>
        <item x="949"/>
        <item x="628"/>
        <item x="91"/>
        <item x="268"/>
        <item x="597"/>
        <item x="766"/>
        <item x="970"/>
        <item x="264"/>
        <item x="561"/>
        <item x="532"/>
        <item x="436"/>
        <item x="178"/>
        <item x="547"/>
        <item x="995"/>
        <item x="111"/>
        <item x="619"/>
        <item x="659"/>
        <item x="523"/>
        <item x="506"/>
        <item x="791"/>
        <item x="413"/>
        <item x="368"/>
        <item x="977"/>
        <item x="622"/>
        <item x="427"/>
        <item x="382"/>
        <item x="123"/>
        <item x="688"/>
        <item x="558"/>
        <item x="374"/>
        <item x="852"/>
        <item x="280"/>
        <item x="315"/>
        <item x="395"/>
        <item x="565"/>
        <item x="788"/>
        <item x="731"/>
        <item x="961"/>
        <item x="142"/>
        <item x="488"/>
        <item x="837"/>
        <item x="933"/>
        <item x="824"/>
        <item x="862"/>
        <item x="274"/>
        <item x="767"/>
        <item x="92"/>
        <item x="171"/>
        <item x="992"/>
        <item x="489"/>
        <item x="138"/>
        <item x="923"/>
        <item x="333"/>
        <item x="310"/>
        <item x="746"/>
        <item x="390"/>
        <item x="499"/>
        <item x="227"/>
        <item x="279"/>
        <item x="936"/>
        <item x="947"/>
        <item x="980"/>
        <item x="286"/>
        <item x="159"/>
        <item x="84"/>
        <item x="129"/>
        <item x="85"/>
        <item x="911"/>
        <item x="584"/>
        <item x="669"/>
        <item x="47"/>
        <item x="114"/>
        <item x="969"/>
        <item x="116"/>
        <item x="720"/>
        <item x="470"/>
        <item x="954"/>
        <item x="441"/>
        <item x="18"/>
        <item x="380"/>
        <item x="747"/>
        <item x="418"/>
        <item x="238"/>
        <item x="260"/>
        <item x="527"/>
        <item x="775"/>
        <item x="118"/>
        <item x="435"/>
        <item x="97"/>
        <item x="799"/>
        <item x="33"/>
        <item x="220"/>
        <item x="922"/>
        <item x="504"/>
        <item x="45"/>
        <item x="702"/>
        <item x="541"/>
        <item x="288"/>
        <item x="591"/>
        <item x="941"/>
        <item x="351"/>
        <item x="48"/>
        <item x="204"/>
        <item x="885"/>
        <item x="984"/>
        <item x="455"/>
        <item x="855"/>
        <item x="446"/>
        <item x="883"/>
        <item x="193"/>
        <item x="370"/>
        <item x="991"/>
        <item x="174"/>
        <item x="853"/>
        <item x="806"/>
        <item x="201"/>
        <item x="925"/>
        <item x="307"/>
        <item x="15"/>
        <item x="664"/>
        <item x="234"/>
        <item x="685"/>
        <item x="670"/>
        <item x="871"/>
        <item x="121"/>
        <item x="221"/>
        <item x="245"/>
        <item x="722"/>
        <item x="83"/>
        <item x="596"/>
        <item x="535"/>
        <item x="41"/>
        <item x="942"/>
        <item x="795"/>
        <item x="338"/>
        <item x="966"/>
        <item x="347"/>
        <item x="341"/>
        <item x="152"/>
        <item x="774"/>
        <item x="661"/>
        <item x="673"/>
        <item x="934"/>
        <item x="578"/>
        <item x="128"/>
        <item x="524"/>
        <item x="818"/>
        <item x="738"/>
        <item x="74"/>
        <item x="21"/>
        <item x="262"/>
        <item x="595"/>
        <item x="154"/>
        <item x="896"/>
        <item x="244"/>
        <item x="292"/>
        <item x="937"/>
        <item x="229"/>
        <item x="821"/>
        <item x="548"/>
        <item x="314"/>
        <item x="986"/>
        <item x="867"/>
        <item x="581"/>
        <item x="36"/>
        <item x="95"/>
        <item x="164"/>
        <item x="538"/>
        <item x="663"/>
        <item x="371"/>
        <item x="813"/>
        <item x="29"/>
        <item x="652"/>
        <item x="59"/>
        <item x="692"/>
        <item x="580"/>
        <item x="394"/>
        <item x="414"/>
        <item x="104"/>
        <item x="100"/>
        <item x="996"/>
        <item x="605"/>
        <item x="112"/>
        <item x="691"/>
        <item x="363"/>
        <item x="501"/>
        <item x="180"/>
        <item x="700"/>
        <item x="641"/>
        <item x="607"/>
        <item x="479"/>
        <item x="727"/>
        <item x="250"/>
        <item x="157"/>
        <item x="586"/>
        <item x="125"/>
        <item x="179"/>
        <item x="640"/>
        <item x="167"/>
        <item x="316"/>
        <item x="335"/>
        <item x="24"/>
        <item x="493"/>
        <item x="409"/>
        <item x="226"/>
        <item x="676"/>
        <item x="728"/>
        <item x="709"/>
        <item x="758"/>
        <item x="258"/>
        <item x="520"/>
        <item x="846"/>
        <item x="869"/>
        <item x="170"/>
        <item x="884"/>
        <item x="559"/>
        <item x="566"/>
        <item x="600"/>
        <item x="81"/>
        <item x="704"/>
        <item x="430"/>
        <item x="972"/>
        <item x="540"/>
        <item x="796"/>
        <item x="913"/>
        <item x="601"/>
        <item x="724"/>
        <item x="177"/>
        <item x="517"/>
        <item x="322"/>
        <item x="654"/>
        <item x="960"/>
        <item x="277"/>
        <item x="243"/>
        <item x="134"/>
        <item x="11"/>
        <item x="989"/>
        <item x="412"/>
        <item x="770"/>
        <item x="287"/>
        <item x="313"/>
        <item x="384"/>
        <item x="79"/>
        <item x="609"/>
        <item x="812"/>
        <item x="892"/>
        <item x="626"/>
        <item x="707"/>
        <item x="610"/>
        <item x="284"/>
        <item x="777"/>
        <item x="801"/>
        <item x="635"/>
        <item x="297"/>
        <item x="188"/>
        <item x="353"/>
        <item x="442"/>
        <item x="144"/>
        <item x="305"/>
        <item x="106"/>
        <item x="253"/>
        <item x="379"/>
        <item x="515"/>
        <item x="62"/>
        <item x="981"/>
        <item x="217"/>
        <item x="375"/>
        <item x="3"/>
        <item x="471"/>
        <item x="460"/>
        <item x="429"/>
        <item x="126"/>
        <item x="754"/>
        <item x="918"/>
        <item x="733"/>
        <item x="155"/>
        <item x="450"/>
        <item x="330"/>
        <item x="935"/>
        <item x="213"/>
        <item x="25"/>
        <item x="364"/>
        <item x="2"/>
        <item x="487"/>
        <item x="132"/>
        <item x="765"/>
        <item x="251"/>
        <item x="505"/>
        <item x="910"/>
        <item x="124"/>
        <item x="655"/>
        <item x="415"/>
        <item x="662"/>
        <item x="870"/>
        <item x="65"/>
        <item x="593"/>
        <item x="306"/>
        <item x="831"/>
        <item x="844"/>
        <item x="939"/>
        <item x="141"/>
        <item x="117"/>
        <item x="453"/>
        <item x="779"/>
        <item x="803"/>
        <item x="526"/>
        <item x="534"/>
        <item x="298"/>
        <item x="592"/>
        <item x="866"/>
        <item x="60"/>
        <item x="331"/>
        <item x="529"/>
        <item x="425"/>
        <item x="820"/>
        <item x="717"/>
        <item x="679"/>
        <item x="22"/>
        <item x="757"/>
        <item x="169"/>
        <item x="14"/>
        <item x="598"/>
        <item x="851"/>
        <item x="299"/>
        <item x="924"/>
        <item x="392"/>
        <item x="657"/>
        <item x="208"/>
        <item x="959"/>
        <item x="660"/>
        <item x="772"/>
        <item x="854"/>
        <item x="147"/>
        <item x="521"/>
        <item x="990"/>
        <item x="536"/>
        <item x="222"/>
        <item x="516"/>
        <item x="750"/>
        <item x="354"/>
        <item x="35"/>
        <item x="967"/>
        <item x="945"/>
        <item x="311"/>
        <item x="636"/>
        <item x="901"/>
        <item x="539"/>
        <item x="614"/>
        <item x="218"/>
        <item x="26"/>
        <item x="161"/>
        <item x="67"/>
        <item x="143"/>
        <item x="182"/>
        <item x="847"/>
        <item x="875"/>
        <item x="404"/>
        <item x="44"/>
        <item x="405"/>
        <item x="259"/>
        <item x="184"/>
        <item x="66"/>
        <item x="583"/>
        <item x="681"/>
        <item x="814"/>
        <item x="873"/>
        <item x="926"/>
        <item x="507"/>
        <item x="358"/>
        <item x="122"/>
        <item x="426"/>
        <item x="63"/>
        <item x="480"/>
        <item x="266"/>
        <item x="886"/>
        <item x="725"/>
        <item x="912"/>
        <item x="737"/>
        <item x="900"/>
        <item x="230"/>
        <item x="231"/>
        <item x="131"/>
        <item x="794"/>
        <item x="80"/>
        <item x="468"/>
        <item x="249"/>
        <item x="579"/>
        <item x="511"/>
        <item x="861"/>
        <item x="680"/>
        <item x="478"/>
        <item x="730"/>
        <item x="786"/>
        <item x="567"/>
        <item x="137"/>
        <item x="897"/>
        <item x="133"/>
        <item x="490"/>
        <item x="840"/>
        <item x="793"/>
        <item x="149"/>
        <item x="127"/>
        <item x="792"/>
        <item x="574"/>
        <item x="929"/>
        <item x="246"/>
        <item x="0"/>
        <item x="254"/>
        <item x="693"/>
        <item x="438"/>
        <item x="276"/>
        <item x="985"/>
        <item x="916"/>
        <item x="711"/>
        <item x="224"/>
        <item x="944"/>
        <item x="718"/>
        <item x="549"/>
        <item x="714"/>
        <item x="963"/>
        <item x="500"/>
        <item x="860"/>
        <item x="400"/>
        <item x="448"/>
        <item x="153"/>
        <item x="890"/>
        <item x="225"/>
        <item x="810"/>
        <item x="278"/>
        <item x="553"/>
        <item x="327"/>
        <item x="444"/>
        <item x="658"/>
        <item x="165"/>
        <item x="756"/>
        <item x="638"/>
        <item x="162"/>
        <item x="75"/>
        <item x="101"/>
        <item x="309"/>
        <item x="235"/>
        <item x="647"/>
        <item x="809"/>
        <item x="449"/>
        <item x="800"/>
        <item x="602"/>
        <item x="16"/>
        <item x="644"/>
        <item x="362"/>
        <item x="868"/>
        <item x="666"/>
        <item x="683"/>
        <item x="295"/>
        <item x="621"/>
        <item x="203"/>
        <item x="403"/>
        <item x="49"/>
        <item x="207"/>
        <item x="906"/>
        <item x="428"/>
        <item x="241"/>
        <item x="811"/>
        <item x="401"/>
        <item x="546"/>
        <item x="17"/>
        <item x="270"/>
        <item x="42"/>
        <item x="542"/>
        <item x="823"/>
        <item x="789"/>
        <item x="802"/>
        <item x="630"/>
        <item x="256"/>
        <item x="472"/>
        <item x="530"/>
        <item x="778"/>
        <item x="804"/>
        <item x="962"/>
        <item x="988"/>
        <item x="163"/>
        <item x="759"/>
        <item x="921"/>
        <item x="109"/>
        <item x="570"/>
        <item x="726"/>
        <item x="464"/>
        <item x="434"/>
        <item x="826"/>
        <item x="938"/>
        <item x="874"/>
        <item x="421"/>
        <item x="763"/>
        <item x="721"/>
        <item x="625"/>
        <item x="839"/>
        <item x="372"/>
        <item x="819"/>
        <item x="406"/>
        <item x="585"/>
        <item x="686"/>
        <item x="187"/>
        <item x="381"/>
        <item x="920"/>
        <item x="616"/>
        <item x="458"/>
        <item x="195"/>
        <item x="337"/>
        <item x="537"/>
        <item x="703"/>
        <item x="951"/>
        <item x="976"/>
        <item x="797"/>
        <item x="590"/>
        <item x="787"/>
        <item x="919"/>
        <item x="557"/>
        <item x="888"/>
        <item x="273"/>
        <item x="749"/>
        <item x="491"/>
        <item x="560"/>
        <item x="191"/>
        <item x="393"/>
        <item x="773"/>
        <item x="398"/>
        <item x="495"/>
        <item x="834"/>
        <item x="882"/>
        <item x="729"/>
        <item x="502"/>
        <item x="783"/>
        <item x="130"/>
        <item x="639"/>
        <item x="183"/>
        <item x="952"/>
        <item x="186"/>
        <item x="345"/>
        <item x="902"/>
        <item x="671"/>
        <item x="332"/>
        <item x="386"/>
        <item x="320"/>
        <item x="881"/>
        <item x="510"/>
        <item x="346"/>
        <item x="915"/>
        <item x="261"/>
        <item x="308"/>
        <item x="263"/>
        <item x="544"/>
        <item x="841"/>
        <item x="550"/>
        <item x="519"/>
        <item x="476"/>
        <item x="13"/>
        <item x="447"/>
        <item x="282"/>
        <item x="690"/>
        <item x="103"/>
        <item x="872"/>
        <item x="30"/>
        <item x="957"/>
        <item x="82"/>
        <item x="651"/>
        <item x="514"/>
        <item x="214"/>
        <item x="564"/>
        <item x="682"/>
        <item x="816"/>
        <item x="52"/>
        <item x="563"/>
        <item x="445"/>
        <item x="745"/>
        <item x="294"/>
        <item x="675"/>
        <item x="216"/>
        <item x="454"/>
        <item x="955"/>
        <item x="781"/>
        <item x="416"/>
        <item x="136"/>
        <item x="706"/>
        <item x="712"/>
        <item x="705"/>
        <item x="632"/>
        <item x="879"/>
        <item x="43"/>
        <item x="373"/>
        <item x="355"/>
        <item x="150"/>
        <item x="467"/>
        <item x="627"/>
        <item x="631"/>
        <item x="740"/>
        <item x="696"/>
        <item x="465"/>
        <item x="252"/>
        <item x="674"/>
        <item x="624"/>
        <item x="197"/>
        <item x="56"/>
        <item x="168"/>
        <item x="77"/>
        <item x="748"/>
        <item x="206"/>
        <item x="716"/>
        <item x="410"/>
        <item x="903"/>
        <item x="734"/>
        <item x="396"/>
        <item x="695"/>
        <item x="232"/>
        <item x="176"/>
        <item x="148"/>
        <item x="146"/>
        <item x="698"/>
        <item x="32"/>
        <item x="599"/>
        <item x="606"/>
        <item x="239"/>
        <item x="968"/>
        <item x="475"/>
        <item x="494"/>
        <item x="456"/>
        <item x="99"/>
        <item x="880"/>
        <item x="827"/>
        <item x="776"/>
        <item x="212"/>
        <item x="808"/>
        <item x="513"/>
        <item x="971"/>
        <item x="492"/>
        <item x="864"/>
        <item x="20"/>
        <item x="486"/>
        <item x="762"/>
        <item x="958"/>
        <item x="194"/>
        <item x="377"/>
        <item x="469"/>
        <item x="40"/>
        <item x="37"/>
        <item x="172"/>
        <item x="577"/>
        <item x="859"/>
        <item x="571"/>
        <item x="462"/>
        <item x="587"/>
        <item x="656"/>
        <item x="265"/>
        <item x="604"/>
        <item x="158"/>
        <item x="300"/>
        <item x="160"/>
        <item x="481"/>
        <item x="909"/>
        <item x="482"/>
        <item x="457"/>
        <item x="283"/>
        <item x="894"/>
        <item x="397"/>
        <item x="518"/>
        <item x="329"/>
        <item x="120"/>
        <item x="950"/>
        <item x="173"/>
        <item x="525"/>
        <item x="87"/>
        <item x="339"/>
        <item x="334"/>
        <item x="790"/>
        <item x="672"/>
        <item x="998"/>
        <item t="default"/>
      </items>
    </pivotField>
  </pivotFields>
  <rowFields count="1">
    <field x="3"/>
  </rowFields>
  <rowItems count="11">
    <i>
      <x v="3"/>
    </i>
    <i>
      <x v="7"/>
    </i>
    <i>
      <x v="1"/>
    </i>
    <i>
      <x v="5"/>
    </i>
    <i>
      <x v="8"/>
    </i>
    <i>
      <x v="6"/>
    </i>
    <i>
      <x v="2"/>
    </i>
    <i>
      <x v="4"/>
    </i>
    <i>
      <x v="9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oduct Name" fld="1" subtotal="count" baseField="3" baseItem="0"/>
    <dataField name="Sum of Potential Profit" fld="13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L27" sqref="L27"/>
    </sheetView>
  </sheetViews>
  <sheetFormatPr defaultRowHeight="13.8"/>
  <cols>
    <col min="1" max="1" width="13.09765625" customWidth="1"/>
    <col min="2" max="2" width="16.59765625" customWidth="1"/>
  </cols>
  <sheetData>
    <row r="3" spans="1:2">
      <c r="A3" s="4" t="s">
        <v>1114</v>
      </c>
      <c r="B3" t="s">
        <v>1116</v>
      </c>
    </row>
    <row r="4" spans="1:2">
      <c r="A4" s="5" t="s">
        <v>167</v>
      </c>
      <c r="B4" s="6">
        <v>3162</v>
      </c>
    </row>
    <row r="5" spans="1:2">
      <c r="A5" s="5" t="s">
        <v>17</v>
      </c>
      <c r="B5" s="6">
        <v>3111</v>
      </c>
    </row>
    <row r="6" spans="1:2">
      <c r="A6" s="5" t="s">
        <v>186</v>
      </c>
      <c r="B6" s="6">
        <v>2815</v>
      </c>
    </row>
    <row r="7" spans="1:2">
      <c r="A7" s="5" t="s">
        <v>76</v>
      </c>
      <c r="B7" s="6">
        <v>2798</v>
      </c>
    </row>
    <row r="8" spans="1:2">
      <c r="A8" s="5" t="s">
        <v>32</v>
      </c>
      <c r="B8" s="6">
        <v>2619</v>
      </c>
    </row>
    <row r="9" spans="1:2">
      <c r="A9" s="5" t="s">
        <v>1115</v>
      </c>
      <c r="B9" s="6">
        <v>14505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"/>
  <sheetViews>
    <sheetView workbookViewId="0">
      <selection activeCell="K24" sqref="K24"/>
    </sheetView>
  </sheetViews>
  <sheetFormatPr defaultRowHeight="13.8"/>
  <cols>
    <col min="1" max="1" width="15.796875" customWidth="1"/>
    <col min="2" max="2" width="24" bestFit="1" customWidth="1"/>
  </cols>
  <sheetData>
    <row r="3" spans="1:2">
      <c r="A3" s="4" t="s">
        <v>1114</v>
      </c>
      <c r="B3" t="s">
        <v>1117</v>
      </c>
    </row>
    <row r="4" spans="1:2">
      <c r="A4" s="5" t="s">
        <v>88</v>
      </c>
      <c r="B4" s="6">
        <v>1238469.7899999996</v>
      </c>
    </row>
    <row r="5" spans="1:2">
      <c r="A5" s="5" t="s">
        <v>27</v>
      </c>
      <c r="B5" s="6">
        <v>500748.58000000013</v>
      </c>
    </row>
    <row r="6" spans="1:2">
      <c r="A6" s="5" t="s">
        <v>53</v>
      </c>
      <c r="B6" s="6">
        <v>473433.52000000014</v>
      </c>
    </row>
    <row r="7" spans="1:2">
      <c r="A7" s="5" t="s">
        <v>13</v>
      </c>
      <c r="B7" s="6">
        <v>468877.87999999983</v>
      </c>
    </row>
    <row r="8" spans="1:2">
      <c r="A8" s="5" t="s">
        <v>23</v>
      </c>
      <c r="B8" s="6">
        <v>393756.55000000005</v>
      </c>
    </row>
    <row r="9" spans="1:2">
      <c r="A9" s="5" t="s">
        <v>18</v>
      </c>
      <c r="B9" s="6">
        <v>354847.8899999999</v>
      </c>
    </row>
    <row r="10" spans="1:2">
      <c r="A10" s="5" t="s">
        <v>47</v>
      </c>
      <c r="B10" s="6">
        <v>222270.56999999992</v>
      </c>
    </row>
    <row r="11" spans="1:2">
      <c r="A11" s="5" t="s">
        <v>33</v>
      </c>
      <c r="B11" s="6">
        <v>179144.21999999991</v>
      </c>
    </row>
    <row r="12" spans="1:2">
      <c r="A12" s="5" t="s">
        <v>1115</v>
      </c>
      <c r="B12" s="6">
        <v>3831548.9999999991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4"/>
  <sheetViews>
    <sheetView topLeftCell="A61" workbookViewId="0">
      <selection activeCell="D84" sqref="D84"/>
    </sheetView>
  </sheetViews>
  <sheetFormatPr defaultRowHeight="13.8"/>
  <cols>
    <col min="1" max="1" width="17.5" bestFit="1" customWidth="1"/>
    <col min="2" max="2" width="20.69921875" bestFit="1" customWidth="1"/>
  </cols>
  <sheetData>
    <row r="3" spans="1:2">
      <c r="A3" s="4" t="s">
        <v>1114</v>
      </c>
      <c r="B3" t="s">
        <v>1118</v>
      </c>
    </row>
    <row r="4" spans="1:2">
      <c r="A4" s="5" t="s">
        <v>167</v>
      </c>
      <c r="B4" s="6">
        <v>96612.61</v>
      </c>
    </row>
    <row r="5" spans="1:2">
      <c r="A5" s="5" t="s">
        <v>387</v>
      </c>
      <c r="B5" s="6">
        <v>67149.17</v>
      </c>
    </row>
    <row r="6" spans="1:2">
      <c r="A6" s="5" t="s">
        <v>207</v>
      </c>
      <c r="B6" s="6">
        <v>58411.679999999993</v>
      </c>
    </row>
    <row r="7" spans="1:2">
      <c r="A7" s="5" t="s">
        <v>229</v>
      </c>
      <c r="B7" s="6">
        <v>56343.06</v>
      </c>
    </row>
    <row r="8" spans="1:2">
      <c r="A8" s="5" t="s">
        <v>87</v>
      </c>
      <c r="B8" s="6">
        <v>48401.85</v>
      </c>
    </row>
    <row r="9" spans="1:2">
      <c r="A9" s="5" t="s">
        <v>90</v>
      </c>
      <c r="B9" s="6">
        <v>42952.24</v>
      </c>
    </row>
    <row r="10" spans="1:2">
      <c r="A10" s="5" t="s">
        <v>124</v>
      </c>
      <c r="B10" s="6">
        <v>42082.07</v>
      </c>
    </row>
    <row r="11" spans="1:2">
      <c r="A11" s="5" t="s">
        <v>175</v>
      </c>
      <c r="B11" s="6">
        <v>37219.220000000008</v>
      </c>
    </row>
    <row r="12" spans="1:2">
      <c r="A12" s="5" t="s">
        <v>144</v>
      </c>
      <c r="B12" s="6">
        <v>37026.35</v>
      </c>
    </row>
    <row r="13" spans="1:2">
      <c r="A13" s="5" t="s">
        <v>131</v>
      </c>
      <c r="B13" s="6">
        <v>35916.219999999994</v>
      </c>
    </row>
    <row r="14" spans="1:2">
      <c r="A14" s="5" t="s">
        <v>114</v>
      </c>
      <c r="B14" s="6">
        <v>35144.240000000005</v>
      </c>
    </row>
    <row r="15" spans="1:2">
      <c r="A15" s="5" t="s">
        <v>179</v>
      </c>
      <c r="B15" s="6">
        <v>32760.25</v>
      </c>
    </row>
    <row r="16" spans="1:2">
      <c r="A16" s="5" t="s">
        <v>76</v>
      </c>
      <c r="B16" s="6">
        <v>32234.969999999998</v>
      </c>
    </row>
    <row r="17" spans="1:2">
      <c r="A17" s="5" t="s">
        <v>26</v>
      </c>
      <c r="B17" s="6">
        <v>28904.18</v>
      </c>
    </row>
    <row r="18" spans="1:2">
      <c r="A18" s="5" t="s">
        <v>17</v>
      </c>
      <c r="B18" s="6">
        <v>28355.52</v>
      </c>
    </row>
    <row r="19" spans="1:2">
      <c r="A19" s="5" t="s">
        <v>216</v>
      </c>
      <c r="B19" s="6">
        <v>26439.069999999996</v>
      </c>
    </row>
    <row r="20" spans="1:2">
      <c r="A20" s="5" t="s">
        <v>62</v>
      </c>
      <c r="B20" s="6">
        <v>26378.810000000005</v>
      </c>
    </row>
    <row r="21" spans="1:2">
      <c r="A21" s="5" t="s">
        <v>85</v>
      </c>
      <c r="B21" s="6">
        <v>26021.95</v>
      </c>
    </row>
    <row r="22" spans="1:2">
      <c r="A22" s="5" t="s">
        <v>116</v>
      </c>
      <c r="B22" s="6">
        <v>24785.199999999993</v>
      </c>
    </row>
    <row r="23" spans="1:2">
      <c r="A23" s="5" t="s">
        <v>299</v>
      </c>
      <c r="B23" s="6">
        <v>24399.829999999998</v>
      </c>
    </row>
    <row r="24" spans="1:2">
      <c r="A24" s="5" t="s">
        <v>12</v>
      </c>
      <c r="B24" s="6">
        <v>23944.610000000004</v>
      </c>
    </row>
    <row r="25" spans="1:2">
      <c r="A25" s="5" t="s">
        <v>72</v>
      </c>
      <c r="B25" s="6">
        <v>22567.88</v>
      </c>
    </row>
    <row r="26" spans="1:2">
      <c r="A26" s="5" t="s">
        <v>92</v>
      </c>
      <c r="B26" s="6">
        <v>22458.940000000002</v>
      </c>
    </row>
    <row r="27" spans="1:2">
      <c r="A27" s="5" t="s">
        <v>22</v>
      </c>
      <c r="B27" s="6">
        <v>22342.21</v>
      </c>
    </row>
    <row r="28" spans="1:2">
      <c r="A28" s="5" t="s">
        <v>186</v>
      </c>
      <c r="B28" s="6">
        <v>21365.45</v>
      </c>
    </row>
    <row r="29" spans="1:2">
      <c r="A29" s="5" t="s">
        <v>227</v>
      </c>
      <c r="B29" s="6">
        <v>21334.01</v>
      </c>
    </row>
    <row r="30" spans="1:2">
      <c r="A30" s="5" t="s">
        <v>44</v>
      </c>
      <c r="B30" s="6">
        <v>20116.32</v>
      </c>
    </row>
    <row r="31" spans="1:2">
      <c r="A31" s="5" t="s">
        <v>151</v>
      </c>
      <c r="B31" s="6">
        <v>20048.670000000002</v>
      </c>
    </row>
    <row r="32" spans="1:2">
      <c r="A32" s="5" t="s">
        <v>102</v>
      </c>
      <c r="B32" s="6">
        <v>19521.969999999998</v>
      </c>
    </row>
    <row r="33" spans="1:2">
      <c r="A33" s="5" t="s">
        <v>323</v>
      </c>
      <c r="B33" s="6">
        <v>18987.190000000002</v>
      </c>
    </row>
    <row r="34" spans="1:2">
      <c r="A34" s="5" t="s">
        <v>35</v>
      </c>
      <c r="B34" s="6">
        <v>18909.409999999996</v>
      </c>
    </row>
    <row r="35" spans="1:2">
      <c r="A35" s="5" t="s">
        <v>97</v>
      </c>
      <c r="B35" s="6">
        <v>18328.599999999999</v>
      </c>
    </row>
    <row r="36" spans="1:2">
      <c r="A36" s="5" t="s">
        <v>41</v>
      </c>
      <c r="B36" s="6">
        <v>18202.170000000002</v>
      </c>
    </row>
    <row r="37" spans="1:2">
      <c r="A37" s="5" t="s">
        <v>169</v>
      </c>
      <c r="B37" s="6">
        <v>17990.609999999997</v>
      </c>
    </row>
    <row r="38" spans="1:2">
      <c r="A38" s="5" t="s">
        <v>406</v>
      </c>
      <c r="B38" s="6">
        <v>17851.739999999998</v>
      </c>
    </row>
    <row r="39" spans="1:2">
      <c r="A39" s="5" t="s">
        <v>156</v>
      </c>
      <c r="B39" s="6">
        <v>17492.150000000001</v>
      </c>
    </row>
    <row r="40" spans="1:2">
      <c r="A40" s="5" t="s">
        <v>52</v>
      </c>
      <c r="B40" s="6">
        <v>17487.810000000001</v>
      </c>
    </row>
    <row r="41" spans="1:2">
      <c r="A41" s="5" t="s">
        <v>190</v>
      </c>
      <c r="B41" s="6">
        <v>16853.879999999997</v>
      </c>
    </row>
    <row r="42" spans="1:2">
      <c r="A42" s="5" t="s">
        <v>66</v>
      </c>
      <c r="B42" s="6">
        <v>16735.91</v>
      </c>
    </row>
    <row r="43" spans="1:2">
      <c r="A43" s="5" t="s">
        <v>183</v>
      </c>
      <c r="B43" s="6">
        <v>16484.310000000001</v>
      </c>
    </row>
    <row r="44" spans="1:2">
      <c r="A44" s="5" t="s">
        <v>74</v>
      </c>
      <c r="B44" s="6">
        <v>16409.45</v>
      </c>
    </row>
    <row r="45" spans="1:2">
      <c r="A45" s="5" t="s">
        <v>79</v>
      </c>
      <c r="B45" s="6">
        <v>16132.92</v>
      </c>
    </row>
    <row r="46" spans="1:2">
      <c r="A46" s="5" t="s">
        <v>135</v>
      </c>
      <c r="B46" s="6">
        <v>16011.550000000003</v>
      </c>
    </row>
    <row r="47" spans="1:2">
      <c r="A47" s="5" t="s">
        <v>202</v>
      </c>
      <c r="B47" s="6">
        <v>15390.24</v>
      </c>
    </row>
    <row r="48" spans="1:2">
      <c r="A48" s="5" t="s">
        <v>248</v>
      </c>
      <c r="B48" s="6">
        <v>15300.539999999999</v>
      </c>
    </row>
    <row r="49" spans="1:2">
      <c r="A49" s="5" t="s">
        <v>30</v>
      </c>
      <c r="B49" s="6">
        <v>15201.89</v>
      </c>
    </row>
    <row r="50" spans="1:2">
      <c r="A50" s="5" t="s">
        <v>126</v>
      </c>
      <c r="B50" s="6">
        <v>15030.499999999996</v>
      </c>
    </row>
    <row r="51" spans="1:2">
      <c r="A51" s="5" t="s">
        <v>110</v>
      </c>
      <c r="B51" s="6">
        <v>14953.72</v>
      </c>
    </row>
    <row r="52" spans="1:2">
      <c r="A52" s="5" t="s">
        <v>251</v>
      </c>
      <c r="B52" s="6">
        <v>14732.390000000003</v>
      </c>
    </row>
    <row r="53" spans="1:2">
      <c r="A53" s="5" t="s">
        <v>153</v>
      </c>
      <c r="B53" s="6">
        <v>14547.519999999999</v>
      </c>
    </row>
    <row r="54" spans="1:2">
      <c r="A54" s="5" t="s">
        <v>141</v>
      </c>
      <c r="B54" s="6">
        <v>14152.610000000002</v>
      </c>
    </row>
    <row r="55" spans="1:2">
      <c r="A55" s="5" t="s">
        <v>64</v>
      </c>
      <c r="B55" s="6">
        <v>13905.689999999999</v>
      </c>
    </row>
    <row r="56" spans="1:2">
      <c r="A56" s="5" t="s">
        <v>164</v>
      </c>
      <c r="B56" s="6">
        <v>13584.75</v>
      </c>
    </row>
    <row r="57" spans="1:2">
      <c r="A57" s="5" t="s">
        <v>128</v>
      </c>
      <c r="B57" s="6">
        <v>13474.470000000003</v>
      </c>
    </row>
    <row r="58" spans="1:2">
      <c r="A58" s="5" t="s">
        <v>259</v>
      </c>
      <c r="B58" s="6">
        <v>13328.84</v>
      </c>
    </row>
    <row r="59" spans="1:2">
      <c r="A59" s="5" t="s">
        <v>222</v>
      </c>
      <c r="B59" s="6">
        <v>13241.84</v>
      </c>
    </row>
    <row r="60" spans="1:2">
      <c r="A60" s="5" t="s">
        <v>220</v>
      </c>
      <c r="B60" s="6">
        <v>12509.32</v>
      </c>
    </row>
    <row r="61" spans="1:2">
      <c r="A61" s="5" t="s">
        <v>172</v>
      </c>
      <c r="B61" s="6">
        <v>12493.23</v>
      </c>
    </row>
    <row r="62" spans="1:2">
      <c r="A62" s="5" t="s">
        <v>81</v>
      </c>
      <c r="B62" s="6">
        <v>12021.8</v>
      </c>
    </row>
    <row r="63" spans="1:2">
      <c r="A63" s="5" t="s">
        <v>56</v>
      </c>
      <c r="B63" s="6">
        <v>11609.390000000003</v>
      </c>
    </row>
    <row r="64" spans="1:2">
      <c r="A64" s="5" t="s">
        <v>32</v>
      </c>
      <c r="B64" s="6">
        <v>11347.770000000002</v>
      </c>
    </row>
    <row r="65" spans="1:2">
      <c r="A65" s="5" t="s">
        <v>37</v>
      </c>
      <c r="B65" s="6">
        <v>11035.839999999998</v>
      </c>
    </row>
    <row r="66" spans="1:2">
      <c r="A66" s="5" t="s">
        <v>83</v>
      </c>
      <c r="B66" s="6">
        <v>10086.730000000001</v>
      </c>
    </row>
    <row r="67" spans="1:2">
      <c r="A67" s="5" t="s">
        <v>237</v>
      </c>
      <c r="B67" s="6">
        <v>9628.89</v>
      </c>
    </row>
    <row r="68" spans="1:2">
      <c r="A68" s="5" t="s">
        <v>46</v>
      </c>
      <c r="B68" s="6">
        <v>9619.0399999999991</v>
      </c>
    </row>
    <row r="69" spans="1:2">
      <c r="A69" s="5" t="s">
        <v>94</v>
      </c>
      <c r="B69" s="6">
        <v>9433.51</v>
      </c>
    </row>
    <row r="70" spans="1:2">
      <c r="A70" s="5" t="s">
        <v>149</v>
      </c>
      <c r="B70" s="6">
        <v>9369.2000000000007</v>
      </c>
    </row>
    <row r="71" spans="1:2">
      <c r="A71" s="5" t="s">
        <v>147</v>
      </c>
      <c r="B71" s="6">
        <v>8717.4900000000016</v>
      </c>
    </row>
    <row r="72" spans="1:2">
      <c r="A72" s="5" t="s">
        <v>104</v>
      </c>
      <c r="B72" s="6">
        <v>8237.23</v>
      </c>
    </row>
    <row r="73" spans="1:2">
      <c r="A73" s="5" t="s">
        <v>421</v>
      </c>
      <c r="B73" s="6">
        <v>7580.1500000000005</v>
      </c>
    </row>
    <row r="74" spans="1:2">
      <c r="A74" s="5" t="s">
        <v>69</v>
      </c>
      <c r="B74" s="6">
        <v>7440.2199999999984</v>
      </c>
    </row>
    <row r="75" spans="1:2">
      <c r="A75" s="5" t="s">
        <v>106</v>
      </c>
      <c r="B75" s="6">
        <v>7181.7200000000012</v>
      </c>
    </row>
    <row r="76" spans="1:2">
      <c r="A76" s="5" t="s">
        <v>50</v>
      </c>
      <c r="B76" s="6">
        <v>6269.4</v>
      </c>
    </row>
    <row r="77" spans="1:2">
      <c r="A77" s="5" t="s">
        <v>119</v>
      </c>
      <c r="B77" s="6">
        <v>6193.79</v>
      </c>
    </row>
    <row r="78" spans="1:2">
      <c r="A78" s="5" t="s">
        <v>60</v>
      </c>
      <c r="B78" s="6">
        <v>6177.27</v>
      </c>
    </row>
    <row r="79" spans="1:2">
      <c r="A79" s="5" t="s">
        <v>272</v>
      </c>
      <c r="B79" s="6">
        <v>5479.7499999999982</v>
      </c>
    </row>
    <row r="80" spans="1:2">
      <c r="A80" s="5" t="s">
        <v>351</v>
      </c>
      <c r="B80" s="6">
        <v>5275.5800000000008</v>
      </c>
    </row>
    <row r="81" spans="1:2">
      <c r="A81" s="5" t="s">
        <v>99</v>
      </c>
      <c r="B81" s="6">
        <v>4684.59</v>
      </c>
    </row>
    <row r="82" spans="1:2">
      <c r="A82" s="5" t="s">
        <v>58</v>
      </c>
      <c r="B82" s="6">
        <v>3874.52</v>
      </c>
    </row>
    <row r="83" spans="1:2">
      <c r="A83" s="5" t="s">
        <v>246</v>
      </c>
      <c r="B83" s="6">
        <v>2943.7600000000007</v>
      </c>
    </row>
    <row r="84" spans="1:2">
      <c r="A84" s="5" t="s">
        <v>1115</v>
      </c>
      <c r="B84" s="6">
        <v>1631171.4399999997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"/>
  <sheetViews>
    <sheetView workbookViewId="0">
      <selection activeCell="B7" sqref="B7"/>
    </sheetView>
  </sheetViews>
  <sheetFormatPr defaultRowHeight="13.8"/>
  <cols>
    <col min="1" max="1" width="15.796875" bestFit="1" customWidth="1"/>
    <col min="2" max="2" width="20.69921875" customWidth="1"/>
  </cols>
  <sheetData>
    <row r="3" spans="1:2">
      <c r="A3" s="4" t="s">
        <v>1114</v>
      </c>
      <c r="B3" t="s">
        <v>1118</v>
      </c>
    </row>
    <row r="4" spans="1:2">
      <c r="A4" s="5" t="s">
        <v>88</v>
      </c>
      <c r="B4" s="6">
        <v>522114.47000000015</v>
      </c>
    </row>
    <row r="5" spans="1:2">
      <c r="A5" s="5" t="s">
        <v>27</v>
      </c>
      <c r="B5" s="6">
        <v>217310.90000000011</v>
      </c>
    </row>
    <row r="6" spans="1:2">
      <c r="A6" s="5" t="s">
        <v>53</v>
      </c>
      <c r="B6" s="6">
        <v>204569.77000000002</v>
      </c>
    </row>
    <row r="7" spans="1:2">
      <c r="A7" s="5" t="s">
        <v>13</v>
      </c>
      <c r="B7" s="6">
        <v>196571.87000000011</v>
      </c>
    </row>
    <row r="8" spans="1:2">
      <c r="A8" s="5" t="s">
        <v>23</v>
      </c>
      <c r="B8" s="6">
        <v>165803.37000000008</v>
      </c>
    </row>
    <row r="9" spans="1:2">
      <c r="A9" s="5" t="s">
        <v>18</v>
      </c>
      <c r="B9" s="6">
        <v>152908.62999999995</v>
      </c>
    </row>
    <row r="10" spans="1:2">
      <c r="A10" s="5" t="s">
        <v>47</v>
      </c>
      <c r="B10" s="6">
        <v>99303.01999999999</v>
      </c>
    </row>
    <row r="11" spans="1:2">
      <c r="A11" s="5" t="s">
        <v>33</v>
      </c>
      <c r="B11" s="6">
        <v>72589.409999999989</v>
      </c>
    </row>
    <row r="12" spans="1:2">
      <c r="A12" s="5" t="s">
        <v>1115</v>
      </c>
      <c r="B12" s="6">
        <v>1631171.4400000006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4"/>
  <sheetViews>
    <sheetView topLeftCell="A61" workbookViewId="0">
      <selection activeCell="E16" sqref="E16"/>
    </sheetView>
  </sheetViews>
  <sheetFormatPr defaultRowHeight="13.8"/>
  <cols>
    <col min="1" max="1" width="17.5" bestFit="1" customWidth="1"/>
    <col min="2" max="2" width="19.796875" bestFit="1" customWidth="1"/>
  </cols>
  <sheetData>
    <row r="3" spans="1:2">
      <c r="A3" s="4" t="s">
        <v>1114</v>
      </c>
      <c r="B3" t="s">
        <v>1119</v>
      </c>
    </row>
    <row r="4" spans="1:2">
      <c r="A4" s="5" t="s">
        <v>153</v>
      </c>
      <c r="B4" s="6">
        <v>684</v>
      </c>
    </row>
    <row r="5" spans="1:2">
      <c r="A5" s="5" t="s">
        <v>110</v>
      </c>
      <c r="B5" s="6">
        <v>704</v>
      </c>
    </row>
    <row r="6" spans="1:2">
      <c r="A6" s="5" t="s">
        <v>102</v>
      </c>
      <c r="B6" s="6">
        <v>754</v>
      </c>
    </row>
    <row r="7" spans="1:2">
      <c r="A7" s="5" t="s">
        <v>119</v>
      </c>
      <c r="B7" s="6">
        <v>778</v>
      </c>
    </row>
    <row r="8" spans="1:2">
      <c r="A8" s="5" t="s">
        <v>64</v>
      </c>
      <c r="B8" s="6">
        <v>883</v>
      </c>
    </row>
    <row r="9" spans="1:2">
      <c r="A9" s="5" t="s">
        <v>92</v>
      </c>
      <c r="B9" s="6">
        <v>923</v>
      </c>
    </row>
    <row r="10" spans="1:2">
      <c r="A10" s="5" t="s">
        <v>58</v>
      </c>
      <c r="B10" s="6">
        <v>936</v>
      </c>
    </row>
    <row r="11" spans="1:2">
      <c r="A11" s="5" t="s">
        <v>251</v>
      </c>
      <c r="B11" s="6">
        <v>965</v>
      </c>
    </row>
    <row r="12" spans="1:2">
      <c r="A12" s="5" t="s">
        <v>237</v>
      </c>
      <c r="B12" s="6">
        <v>968</v>
      </c>
    </row>
    <row r="13" spans="1:2">
      <c r="A13" s="5" t="s">
        <v>99</v>
      </c>
      <c r="B13" s="6">
        <v>992</v>
      </c>
    </row>
    <row r="14" spans="1:2">
      <c r="A14" s="5" t="s">
        <v>164</v>
      </c>
      <c r="B14" s="6">
        <v>993</v>
      </c>
    </row>
    <row r="15" spans="1:2">
      <c r="A15" s="5" t="s">
        <v>246</v>
      </c>
      <c r="B15" s="6">
        <v>1009</v>
      </c>
    </row>
    <row r="16" spans="1:2">
      <c r="A16" s="5" t="s">
        <v>124</v>
      </c>
      <c r="B16" s="6">
        <v>1042</v>
      </c>
    </row>
    <row r="17" spans="1:2">
      <c r="A17" s="5" t="s">
        <v>175</v>
      </c>
      <c r="B17" s="6">
        <v>1068</v>
      </c>
    </row>
    <row r="18" spans="1:2">
      <c r="A18" s="5" t="s">
        <v>387</v>
      </c>
      <c r="B18" s="6">
        <v>1096</v>
      </c>
    </row>
    <row r="19" spans="1:2">
      <c r="A19" s="5" t="s">
        <v>114</v>
      </c>
      <c r="B19" s="6">
        <v>1120</v>
      </c>
    </row>
    <row r="20" spans="1:2">
      <c r="A20" s="5" t="s">
        <v>144</v>
      </c>
      <c r="B20" s="6">
        <v>1120</v>
      </c>
    </row>
    <row r="21" spans="1:2">
      <c r="A21" s="5" t="s">
        <v>222</v>
      </c>
      <c r="B21" s="6">
        <v>1133</v>
      </c>
    </row>
    <row r="22" spans="1:2">
      <c r="A22" s="5" t="s">
        <v>147</v>
      </c>
      <c r="B22" s="6">
        <v>1141</v>
      </c>
    </row>
    <row r="23" spans="1:2">
      <c r="A23" s="5" t="s">
        <v>202</v>
      </c>
      <c r="B23" s="6">
        <v>1145</v>
      </c>
    </row>
    <row r="24" spans="1:2">
      <c r="A24" s="5" t="s">
        <v>323</v>
      </c>
      <c r="B24" s="6">
        <v>1151</v>
      </c>
    </row>
    <row r="25" spans="1:2">
      <c r="A25" s="5" t="s">
        <v>56</v>
      </c>
      <c r="B25" s="6">
        <v>1164</v>
      </c>
    </row>
    <row r="26" spans="1:2">
      <c r="A26" s="5" t="s">
        <v>131</v>
      </c>
      <c r="B26" s="6">
        <v>1185</v>
      </c>
    </row>
    <row r="27" spans="1:2">
      <c r="A27" s="5" t="s">
        <v>116</v>
      </c>
      <c r="B27" s="6">
        <v>1223</v>
      </c>
    </row>
    <row r="28" spans="1:2">
      <c r="A28" s="5" t="s">
        <v>60</v>
      </c>
      <c r="B28" s="6">
        <v>1228</v>
      </c>
    </row>
    <row r="29" spans="1:2">
      <c r="A29" s="5" t="s">
        <v>79</v>
      </c>
      <c r="B29" s="6">
        <v>1238</v>
      </c>
    </row>
    <row r="30" spans="1:2">
      <c r="A30" s="5" t="s">
        <v>207</v>
      </c>
      <c r="B30" s="6">
        <v>1293</v>
      </c>
    </row>
    <row r="31" spans="1:2">
      <c r="A31" s="5" t="s">
        <v>299</v>
      </c>
      <c r="B31" s="6">
        <v>1334</v>
      </c>
    </row>
    <row r="32" spans="1:2">
      <c r="A32" s="5" t="s">
        <v>220</v>
      </c>
      <c r="B32" s="6">
        <v>1352</v>
      </c>
    </row>
    <row r="33" spans="1:2">
      <c r="A33" s="5" t="s">
        <v>87</v>
      </c>
      <c r="B33" s="6">
        <v>1371</v>
      </c>
    </row>
    <row r="34" spans="1:2">
      <c r="A34" s="5" t="s">
        <v>169</v>
      </c>
      <c r="B34" s="6">
        <v>1373</v>
      </c>
    </row>
    <row r="35" spans="1:2">
      <c r="A35" s="5" t="s">
        <v>172</v>
      </c>
      <c r="B35" s="6">
        <v>1374</v>
      </c>
    </row>
    <row r="36" spans="1:2">
      <c r="A36" s="5" t="s">
        <v>351</v>
      </c>
      <c r="B36" s="6">
        <v>1388</v>
      </c>
    </row>
    <row r="37" spans="1:2">
      <c r="A37" s="5" t="s">
        <v>30</v>
      </c>
      <c r="B37" s="6">
        <v>1396</v>
      </c>
    </row>
    <row r="38" spans="1:2">
      <c r="A38" s="5" t="s">
        <v>76</v>
      </c>
      <c r="B38" s="6">
        <v>1402</v>
      </c>
    </row>
    <row r="39" spans="1:2">
      <c r="A39" s="5" t="s">
        <v>227</v>
      </c>
      <c r="B39" s="6">
        <v>1442</v>
      </c>
    </row>
    <row r="40" spans="1:2">
      <c r="A40" s="5" t="s">
        <v>69</v>
      </c>
      <c r="B40" s="6">
        <v>1464</v>
      </c>
    </row>
    <row r="41" spans="1:2">
      <c r="A41" s="5" t="s">
        <v>128</v>
      </c>
      <c r="B41" s="6">
        <v>1486</v>
      </c>
    </row>
    <row r="42" spans="1:2">
      <c r="A42" s="5" t="s">
        <v>74</v>
      </c>
      <c r="B42" s="6">
        <v>1535</v>
      </c>
    </row>
    <row r="43" spans="1:2">
      <c r="A43" s="5" t="s">
        <v>229</v>
      </c>
      <c r="B43" s="6">
        <v>1569</v>
      </c>
    </row>
    <row r="44" spans="1:2">
      <c r="A44" s="5" t="s">
        <v>26</v>
      </c>
      <c r="B44" s="6">
        <v>1580</v>
      </c>
    </row>
    <row r="45" spans="1:2">
      <c r="A45" s="5" t="s">
        <v>151</v>
      </c>
      <c r="B45" s="6">
        <v>1581</v>
      </c>
    </row>
    <row r="46" spans="1:2">
      <c r="A46" s="5" t="s">
        <v>106</v>
      </c>
      <c r="B46" s="6">
        <v>1581</v>
      </c>
    </row>
    <row r="47" spans="1:2">
      <c r="A47" s="5" t="s">
        <v>259</v>
      </c>
      <c r="B47" s="6">
        <v>1592</v>
      </c>
    </row>
    <row r="48" spans="1:2">
      <c r="A48" s="5" t="s">
        <v>104</v>
      </c>
      <c r="B48" s="6">
        <v>1599</v>
      </c>
    </row>
    <row r="49" spans="1:2">
      <c r="A49" s="5" t="s">
        <v>37</v>
      </c>
      <c r="B49" s="6">
        <v>1632</v>
      </c>
    </row>
    <row r="50" spans="1:2">
      <c r="A50" s="5" t="s">
        <v>52</v>
      </c>
      <c r="B50" s="6">
        <v>1641</v>
      </c>
    </row>
    <row r="51" spans="1:2">
      <c r="A51" s="5" t="s">
        <v>72</v>
      </c>
      <c r="B51" s="6">
        <v>1668</v>
      </c>
    </row>
    <row r="52" spans="1:2">
      <c r="A52" s="5" t="s">
        <v>183</v>
      </c>
      <c r="B52" s="6">
        <v>1674</v>
      </c>
    </row>
    <row r="53" spans="1:2">
      <c r="A53" s="5" t="s">
        <v>94</v>
      </c>
      <c r="B53" s="6">
        <v>1688</v>
      </c>
    </row>
    <row r="54" spans="1:2">
      <c r="A54" s="5" t="s">
        <v>62</v>
      </c>
      <c r="B54" s="6">
        <v>1708</v>
      </c>
    </row>
    <row r="55" spans="1:2">
      <c r="A55" s="5" t="s">
        <v>83</v>
      </c>
      <c r="B55" s="6">
        <v>1717</v>
      </c>
    </row>
    <row r="56" spans="1:2">
      <c r="A56" s="5" t="s">
        <v>44</v>
      </c>
      <c r="B56" s="6">
        <v>1723</v>
      </c>
    </row>
    <row r="57" spans="1:2">
      <c r="A57" s="5" t="s">
        <v>190</v>
      </c>
      <c r="B57" s="6">
        <v>1724</v>
      </c>
    </row>
    <row r="58" spans="1:2">
      <c r="A58" s="5" t="s">
        <v>216</v>
      </c>
      <c r="B58" s="6">
        <v>1739</v>
      </c>
    </row>
    <row r="59" spans="1:2">
      <c r="A59" s="5" t="s">
        <v>141</v>
      </c>
      <c r="B59" s="6">
        <v>1768</v>
      </c>
    </row>
    <row r="60" spans="1:2">
      <c r="A60" s="5" t="s">
        <v>421</v>
      </c>
      <c r="B60" s="6">
        <v>1778</v>
      </c>
    </row>
    <row r="61" spans="1:2">
      <c r="A61" s="5" t="s">
        <v>248</v>
      </c>
      <c r="B61" s="6">
        <v>1784</v>
      </c>
    </row>
    <row r="62" spans="1:2">
      <c r="A62" s="5" t="s">
        <v>66</v>
      </c>
      <c r="B62" s="6">
        <v>1802</v>
      </c>
    </row>
    <row r="63" spans="1:2">
      <c r="A63" s="5" t="s">
        <v>35</v>
      </c>
      <c r="B63" s="6">
        <v>1845</v>
      </c>
    </row>
    <row r="64" spans="1:2">
      <c r="A64" s="5" t="s">
        <v>50</v>
      </c>
      <c r="B64" s="6">
        <v>1865</v>
      </c>
    </row>
    <row r="65" spans="1:2">
      <c r="A65" s="5" t="s">
        <v>126</v>
      </c>
      <c r="B65" s="6">
        <v>1870</v>
      </c>
    </row>
    <row r="66" spans="1:2">
      <c r="A66" s="5" t="s">
        <v>179</v>
      </c>
      <c r="B66" s="6">
        <v>1913</v>
      </c>
    </row>
    <row r="67" spans="1:2">
      <c r="A67" s="5" t="s">
        <v>41</v>
      </c>
      <c r="B67" s="6">
        <v>1924</v>
      </c>
    </row>
    <row r="68" spans="1:2">
      <c r="A68" s="5" t="s">
        <v>272</v>
      </c>
      <c r="B68" s="6">
        <v>1928</v>
      </c>
    </row>
    <row r="69" spans="1:2">
      <c r="A69" s="5" t="s">
        <v>149</v>
      </c>
      <c r="B69" s="6">
        <v>2009</v>
      </c>
    </row>
    <row r="70" spans="1:2">
      <c r="A70" s="5" t="s">
        <v>167</v>
      </c>
      <c r="B70" s="6">
        <v>2027</v>
      </c>
    </row>
    <row r="71" spans="1:2">
      <c r="A71" s="5" t="s">
        <v>12</v>
      </c>
      <c r="B71" s="6">
        <v>2029</v>
      </c>
    </row>
    <row r="72" spans="1:2">
      <c r="A72" s="5" t="s">
        <v>81</v>
      </c>
      <c r="B72" s="6">
        <v>2091</v>
      </c>
    </row>
    <row r="73" spans="1:2">
      <c r="A73" s="5" t="s">
        <v>32</v>
      </c>
      <c r="B73" s="6">
        <v>2272</v>
      </c>
    </row>
    <row r="74" spans="1:2">
      <c r="A74" s="5" t="s">
        <v>186</v>
      </c>
      <c r="B74" s="6">
        <v>2280</v>
      </c>
    </row>
    <row r="75" spans="1:2">
      <c r="A75" s="5" t="s">
        <v>90</v>
      </c>
      <c r="B75" s="6">
        <v>2318</v>
      </c>
    </row>
    <row r="76" spans="1:2">
      <c r="A76" s="5" t="s">
        <v>46</v>
      </c>
      <c r="B76" s="6">
        <v>2386</v>
      </c>
    </row>
    <row r="77" spans="1:2">
      <c r="A77" s="5" t="s">
        <v>406</v>
      </c>
      <c r="B77" s="6">
        <v>2405</v>
      </c>
    </row>
    <row r="78" spans="1:2">
      <c r="A78" s="5" t="s">
        <v>97</v>
      </c>
      <c r="B78" s="6">
        <v>2421</v>
      </c>
    </row>
    <row r="79" spans="1:2">
      <c r="A79" s="5" t="s">
        <v>156</v>
      </c>
      <c r="B79" s="6">
        <v>2473</v>
      </c>
    </row>
    <row r="80" spans="1:2">
      <c r="A80" s="5" t="s">
        <v>17</v>
      </c>
      <c r="B80" s="6">
        <v>2497</v>
      </c>
    </row>
    <row r="81" spans="1:2">
      <c r="A81" s="5" t="s">
        <v>85</v>
      </c>
      <c r="B81" s="6">
        <v>2535</v>
      </c>
    </row>
    <row r="82" spans="1:2">
      <c r="A82" s="5" t="s">
        <v>135</v>
      </c>
      <c r="B82" s="6">
        <v>2810</v>
      </c>
    </row>
    <row r="83" spans="1:2">
      <c r="A83" s="5" t="s">
        <v>22</v>
      </c>
      <c r="B83" s="6">
        <v>3112</v>
      </c>
    </row>
    <row r="84" spans="1:2">
      <c r="A84" s="5" t="s">
        <v>1115</v>
      </c>
      <c r="B84" s="6">
        <v>125411</v>
      </c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6" sqref="B6"/>
    </sheetView>
  </sheetViews>
  <sheetFormatPr defaultRowHeight="13.8"/>
  <cols>
    <col min="1" max="1" width="15.296875" customWidth="1"/>
    <col min="2" max="2" width="20.69921875" customWidth="1"/>
    <col min="3" max="5" width="11" bestFit="1" customWidth="1"/>
  </cols>
  <sheetData>
    <row r="1" spans="1:2">
      <c r="A1" s="4" t="s">
        <v>10</v>
      </c>
      <c r="B1" t="s">
        <v>15</v>
      </c>
    </row>
    <row r="3" spans="1:2">
      <c r="A3" s="4" t="s">
        <v>1114</v>
      </c>
      <c r="B3" t="s">
        <v>1118</v>
      </c>
    </row>
    <row r="4" spans="1:2">
      <c r="A4" s="5" t="s">
        <v>387</v>
      </c>
      <c r="B4" s="6">
        <v>36751.409999999996</v>
      </c>
    </row>
    <row r="5" spans="1:2">
      <c r="A5" s="5" t="s">
        <v>167</v>
      </c>
      <c r="B5" s="6">
        <v>35457.83</v>
      </c>
    </row>
    <row r="6" spans="1:2">
      <c r="A6" s="5" t="s">
        <v>76</v>
      </c>
      <c r="B6" s="6">
        <v>27344.350000000002</v>
      </c>
    </row>
    <row r="7" spans="1:2">
      <c r="A7" s="5" t="s">
        <v>87</v>
      </c>
      <c r="B7" s="6">
        <v>24550.760000000002</v>
      </c>
    </row>
    <row r="8" spans="1:2">
      <c r="A8" s="5" t="s">
        <v>90</v>
      </c>
      <c r="B8" s="6">
        <v>18919.919999999998</v>
      </c>
    </row>
    <row r="9" spans="1:2">
      <c r="A9" s="5" t="s">
        <v>1115</v>
      </c>
      <c r="B9" s="6">
        <v>143024.27000000002</v>
      </c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"/>
  <sheetViews>
    <sheetView workbookViewId="0">
      <selection activeCell="F16" sqref="F16"/>
    </sheetView>
  </sheetViews>
  <sheetFormatPr defaultRowHeight="13.8"/>
  <cols>
    <col min="1" max="1" width="15.796875" bestFit="1" customWidth="1"/>
    <col min="2" max="2" width="18.09765625" bestFit="1" customWidth="1"/>
  </cols>
  <sheetData>
    <row r="3" spans="1:2">
      <c r="A3" s="4" t="s">
        <v>1114</v>
      </c>
      <c r="B3" t="s">
        <v>1120</v>
      </c>
    </row>
    <row r="4" spans="1:2">
      <c r="A4" s="5" t="s">
        <v>18</v>
      </c>
      <c r="B4" s="6">
        <v>134</v>
      </c>
    </row>
    <row r="5" spans="1:2">
      <c r="A5" s="5" t="s">
        <v>23</v>
      </c>
      <c r="B5" s="6">
        <v>132</v>
      </c>
    </row>
    <row r="6" spans="1:2">
      <c r="A6" s="5" t="s">
        <v>47</v>
      </c>
      <c r="B6" s="6">
        <v>126</v>
      </c>
    </row>
    <row r="7" spans="1:2">
      <c r="A7" s="5" t="s">
        <v>88</v>
      </c>
      <c r="B7" s="6">
        <v>126</v>
      </c>
    </row>
    <row r="8" spans="1:2">
      <c r="A8" s="5" t="s">
        <v>13</v>
      </c>
      <c r="B8" s="6">
        <v>124</v>
      </c>
    </row>
    <row r="9" spans="1:2">
      <c r="A9" s="5" t="s">
        <v>27</v>
      </c>
      <c r="B9" s="6">
        <v>123</v>
      </c>
    </row>
    <row r="10" spans="1:2">
      <c r="A10" s="5" t="s">
        <v>33</v>
      </c>
      <c r="B10" s="6">
        <v>119</v>
      </c>
    </row>
    <row r="11" spans="1:2">
      <c r="A11" s="5" t="s">
        <v>53</v>
      </c>
      <c r="B11" s="6">
        <v>116</v>
      </c>
    </row>
    <row r="12" spans="1:2">
      <c r="A12" s="5" t="s">
        <v>1115</v>
      </c>
      <c r="B12" s="6">
        <v>1000</v>
      </c>
    </row>
  </sheetData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4"/>
  <sheetViews>
    <sheetView workbookViewId="0">
      <selection activeCell="C18" sqref="C18"/>
    </sheetView>
  </sheetViews>
  <sheetFormatPr defaultRowHeight="13.8"/>
  <cols>
    <col min="1" max="1" width="19.19921875" bestFit="1" customWidth="1"/>
    <col min="2" max="2" width="21.5" customWidth="1"/>
    <col min="3" max="3" width="20.69921875" customWidth="1"/>
  </cols>
  <sheetData>
    <row r="3" spans="1:3">
      <c r="A3" s="4" t="s">
        <v>1114</v>
      </c>
      <c r="B3" t="s">
        <v>1121</v>
      </c>
      <c r="C3" t="s">
        <v>1118</v>
      </c>
    </row>
    <row r="4" spans="1:3">
      <c r="A4" s="5" t="s">
        <v>14</v>
      </c>
      <c r="B4" s="6">
        <v>109</v>
      </c>
      <c r="C4" s="6">
        <v>194405.74000000005</v>
      </c>
    </row>
    <row r="5" spans="1:3">
      <c r="A5" s="5" t="s">
        <v>42</v>
      </c>
      <c r="B5" s="6">
        <v>119</v>
      </c>
      <c r="C5" s="6">
        <v>186440.63000000006</v>
      </c>
    </row>
    <row r="6" spans="1:3">
      <c r="A6" s="5" t="s">
        <v>19</v>
      </c>
      <c r="B6" s="6">
        <v>103</v>
      </c>
      <c r="C6" s="6">
        <v>172385.93000000002</v>
      </c>
    </row>
    <row r="7" spans="1:3">
      <c r="A7" s="5" t="s">
        <v>24</v>
      </c>
      <c r="B7" s="6">
        <v>116</v>
      </c>
      <c r="C7" s="6">
        <v>172100.43999999992</v>
      </c>
    </row>
    <row r="8" spans="1:3">
      <c r="A8" s="5" t="s">
        <v>39</v>
      </c>
      <c r="B8" s="6">
        <v>92</v>
      </c>
      <c r="C8" s="6">
        <v>161056.5100000001</v>
      </c>
    </row>
    <row r="9" spans="1:3">
      <c r="A9" s="5" t="s">
        <v>28</v>
      </c>
      <c r="B9" s="6">
        <v>98</v>
      </c>
      <c r="C9" s="6">
        <v>158345.32999999993</v>
      </c>
    </row>
    <row r="10" spans="1:3">
      <c r="A10" s="5" t="s">
        <v>77</v>
      </c>
      <c r="B10" s="6">
        <v>103</v>
      </c>
      <c r="C10" s="6">
        <v>155908.00000000003</v>
      </c>
    </row>
    <row r="11" spans="1:3">
      <c r="A11" s="5" t="s">
        <v>100</v>
      </c>
      <c r="B11" s="6">
        <v>89</v>
      </c>
      <c r="C11" s="6">
        <v>147076.47000000003</v>
      </c>
    </row>
    <row r="12" spans="1:3">
      <c r="A12" s="5" t="s">
        <v>54</v>
      </c>
      <c r="B12" s="6">
        <v>99</v>
      </c>
      <c r="C12" s="6">
        <v>144223.71000000002</v>
      </c>
    </row>
    <row r="13" spans="1:3">
      <c r="A13" s="5" t="s">
        <v>48</v>
      </c>
      <c r="B13" s="6">
        <v>72</v>
      </c>
      <c r="C13" s="6">
        <v>139228.68000000002</v>
      </c>
    </row>
    <row r="14" spans="1:3">
      <c r="A14" s="5" t="s">
        <v>1115</v>
      </c>
      <c r="B14" s="6">
        <v>1000</v>
      </c>
      <c r="C14" s="6">
        <v>1631171.4399999967</v>
      </c>
    </row>
  </sheetData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A2" zoomScaleNormal="100" workbookViewId="0">
      <selection activeCell="D54" sqref="D54"/>
    </sheetView>
  </sheetViews>
  <sheetFormatPr defaultRowHeight="13.8"/>
  <cols>
    <col min="1" max="1" width="33.8984375" bestFit="1" customWidth="1"/>
    <col min="3" max="3" width="13" bestFit="1" customWidth="1"/>
    <col min="5" max="5" width="17.59765625" customWidth="1"/>
    <col min="7" max="7" width="20.3984375" bestFit="1" customWidth="1"/>
    <col min="9" max="9" width="26.19921875" customWidth="1"/>
  </cols>
  <sheetData>
    <row r="1" spans="1:9" ht="24.6">
      <c r="A1" s="13" t="s">
        <v>1122</v>
      </c>
      <c r="B1" s="8"/>
      <c r="C1" s="8"/>
      <c r="D1" s="8"/>
      <c r="E1" s="8"/>
      <c r="F1" s="8"/>
      <c r="G1" s="8"/>
      <c r="H1" s="8"/>
      <c r="I1" s="8"/>
    </row>
    <row r="3" spans="1:9" ht="15.6">
      <c r="A3" s="9" t="s">
        <v>1123</v>
      </c>
      <c r="C3" s="9" t="s">
        <v>7</v>
      </c>
      <c r="E3" s="9" t="s">
        <v>1112</v>
      </c>
      <c r="G3" s="9" t="s">
        <v>1113</v>
      </c>
      <c r="I3" s="9" t="s">
        <v>1124</v>
      </c>
    </row>
    <row r="4" spans="1:9" ht="24.6">
      <c r="A4" s="10">
        <v>1000</v>
      </c>
      <c r="C4" s="10">
        <v>137040</v>
      </c>
      <c r="E4" s="10">
        <v>3831549</v>
      </c>
      <c r="G4" s="11">
        <v>1631171.44</v>
      </c>
      <c r="I4" s="11">
        <v>420656.54</v>
      </c>
    </row>
    <row r="40" spans="1:16">
      <c r="A40" s="5"/>
      <c r="B40" s="5"/>
      <c r="C40" s="14" t="s">
        <v>1125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>
      <c r="A41" s="5" t="s">
        <v>1126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>
      <c r="A42" s="5" t="s">
        <v>1127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>
      <c r="A43" s="5" t="s">
        <v>1128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>
      <c r="A44" s="12" t="s">
        <v>1129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7" spans="1:16">
      <c r="B47" s="7" t="s">
        <v>1130</v>
      </c>
    </row>
    <row r="48" spans="1:16">
      <c r="A48" t="s">
        <v>1131</v>
      </c>
    </row>
    <row r="49" spans="1:1">
      <c r="A49" t="s">
        <v>1132</v>
      </c>
    </row>
    <row r="50" spans="1:1">
      <c r="A50" t="s">
        <v>1133</v>
      </c>
    </row>
    <row r="51" spans="1:1">
      <c r="A51" t="s">
        <v>1134</v>
      </c>
    </row>
  </sheetData>
  <mergeCells count="2">
    <mergeCell ref="A44:P44"/>
    <mergeCell ref="A1:I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N1001"/>
  <sheetViews>
    <sheetView workbookViewId="0">
      <pane ySplit="1" topLeftCell="A2" activePane="bottomLeft" state="frozen"/>
      <selection pane="bottomLeft" sqref="A1:XFD1048576"/>
    </sheetView>
  </sheetViews>
  <sheetFormatPr defaultRowHeight="13.8"/>
  <cols>
    <col min="1" max="1" width="11.69921875" customWidth="1"/>
    <col min="2" max="2" width="15.09765625" customWidth="1"/>
    <col min="3" max="3" width="12.19921875" customWidth="1"/>
    <col min="4" max="4" width="18.09765625" customWidth="1"/>
    <col min="5" max="5" width="9.69921875" customWidth="1"/>
    <col min="6" max="6" width="11.19921875" customWidth="1"/>
    <col min="7" max="7" width="12.796875" customWidth="1"/>
    <col min="8" max="8" width="13.796875" bestFit="1" customWidth="1"/>
    <col min="9" max="9" width="12" customWidth="1"/>
    <col min="10" max="10" width="11.296875" customWidth="1"/>
    <col min="11" max="11" width="9.69921875" customWidth="1"/>
    <col min="12" max="12" width="10" customWidth="1"/>
    <col min="13" max="13" width="11.19921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1111</v>
      </c>
      <c r="M1" t="s">
        <v>1112</v>
      </c>
      <c r="N1" t="s">
        <v>1113</v>
      </c>
    </row>
    <row r="2" spans="1:14">
      <c r="A2" t="s">
        <v>11</v>
      </c>
      <c r="B2" t="s">
        <v>12</v>
      </c>
      <c r="C2" t="s">
        <v>13</v>
      </c>
      <c r="D2" t="s">
        <v>14</v>
      </c>
      <c r="E2" s="2">
        <v>23.78</v>
      </c>
      <c r="F2" s="2">
        <v>38.89</v>
      </c>
      <c r="G2" s="3">
        <v>135</v>
      </c>
      <c r="H2" s="3">
        <v>118</v>
      </c>
      <c r="I2" s="3">
        <v>17</v>
      </c>
      <c r="J2" s="3">
        <v>30</v>
      </c>
      <c r="K2" t="s">
        <v>15</v>
      </c>
      <c r="L2" s="2">
        <f>F2-E2</f>
        <v>15.11</v>
      </c>
      <c r="M2" s="2">
        <f>H2*F2</f>
        <v>4589.0200000000004</v>
      </c>
      <c r="N2" s="2">
        <f>H2*L2</f>
        <v>1782.98</v>
      </c>
    </row>
    <row r="3" spans="1:14">
      <c r="A3" t="s">
        <v>16</v>
      </c>
      <c r="B3" t="s">
        <v>17</v>
      </c>
      <c r="C3" t="s">
        <v>18</v>
      </c>
      <c r="D3" t="s">
        <v>19</v>
      </c>
      <c r="E3" s="2">
        <v>15.67</v>
      </c>
      <c r="F3" s="2">
        <v>24.53</v>
      </c>
      <c r="G3" s="3">
        <v>86</v>
      </c>
      <c r="H3" s="3">
        <v>10</v>
      </c>
      <c r="I3" s="3">
        <v>76</v>
      </c>
      <c r="J3" s="3">
        <v>9</v>
      </c>
      <c r="K3" t="s">
        <v>20</v>
      </c>
      <c r="L3" s="2">
        <f t="shared" ref="L3:L66" si="0">F3-E3</f>
        <v>8.8600000000000012</v>
      </c>
      <c r="M3" s="2">
        <f t="shared" ref="M3:M66" si="1">H3*F3</f>
        <v>245.3</v>
      </c>
      <c r="N3" s="2">
        <f t="shared" ref="N3:N66" si="2">H3*L3</f>
        <v>88.600000000000009</v>
      </c>
    </row>
    <row r="4" spans="1:14">
      <c r="A4" t="s">
        <v>21</v>
      </c>
      <c r="B4" t="s">
        <v>22</v>
      </c>
      <c r="C4" t="s">
        <v>23</v>
      </c>
      <c r="D4" t="s">
        <v>24</v>
      </c>
      <c r="E4" s="2">
        <v>5.59</v>
      </c>
      <c r="F4" s="2">
        <v>11.88</v>
      </c>
      <c r="G4" s="3">
        <v>319</v>
      </c>
      <c r="H4" s="3">
        <v>195</v>
      </c>
      <c r="I4" s="3">
        <v>124</v>
      </c>
      <c r="J4" s="3">
        <v>47</v>
      </c>
      <c r="K4" t="s">
        <v>20</v>
      </c>
      <c r="L4" s="2">
        <f t="shared" si="0"/>
        <v>6.2900000000000009</v>
      </c>
      <c r="M4" s="2">
        <f t="shared" si="1"/>
        <v>2316.6000000000004</v>
      </c>
      <c r="N4" s="2">
        <f t="shared" si="2"/>
        <v>1226.5500000000002</v>
      </c>
    </row>
    <row r="5" spans="1:14">
      <c r="A5" t="s">
        <v>25</v>
      </c>
      <c r="B5" t="s">
        <v>26</v>
      </c>
      <c r="C5" t="s">
        <v>27</v>
      </c>
      <c r="D5" t="s">
        <v>28</v>
      </c>
      <c r="E5" s="2">
        <v>9.7200000000000006</v>
      </c>
      <c r="F5" s="2">
        <v>18.010000000000002</v>
      </c>
      <c r="G5" s="3">
        <v>173</v>
      </c>
      <c r="H5" s="3">
        <v>140</v>
      </c>
      <c r="I5" s="3">
        <v>33</v>
      </c>
      <c r="J5" s="3">
        <v>39</v>
      </c>
      <c r="K5" t="s">
        <v>15</v>
      </c>
      <c r="L5" s="2">
        <f t="shared" si="0"/>
        <v>8.2900000000000009</v>
      </c>
      <c r="M5" s="2">
        <f t="shared" si="1"/>
        <v>2521.4</v>
      </c>
      <c r="N5" s="2">
        <f t="shared" si="2"/>
        <v>1160.6000000000001</v>
      </c>
    </row>
    <row r="6" spans="1:14">
      <c r="A6" t="s">
        <v>29</v>
      </c>
      <c r="B6" t="s">
        <v>30</v>
      </c>
      <c r="C6" t="s">
        <v>13</v>
      </c>
      <c r="D6" t="s">
        <v>19</v>
      </c>
      <c r="E6" s="2">
        <v>8.2200000000000006</v>
      </c>
      <c r="F6" s="2">
        <v>13.9</v>
      </c>
      <c r="G6" s="3">
        <v>32</v>
      </c>
      <c r="H6" s="3">
        <v>8</v>
      </c>
      <c r="I6" s="3">
        <v>24</v>
      </c>
      <c r="J6" s="3">
        <v>7</v>
      </c>
      <c r="K6" t="s">
        <v>20</v>
      </c>
      <c r="L6" s="2">
        <f t="shared" si="0"/>
        <v>5.68</v>
      </c>
      <c r="M6" s="2">
        <f t="shared" si="1"/>
        <v>111.2</v>
      </c>
      <c r="N6" s="2">
        <f t="shared" si="2"/>
        <v>45.44</v>
      </c>
    </row>
    <row r="7" spans="1:14">
      <c r="A7" t="s">
        <v>31</v>
      </c>
      <c r="B7" t="s">
        <v>32</v>
      </c>
      <c r="C7" t="s">
        <v>33</v>
      </c>
      <c r="D7" t="s">
        <v>24</v>
      </c>
      <c r="E7" s="2">
        <v>6.94</v>
      </c>
      <c r="F7" s="2">
        <v>12.18</v>
      </c>
      <c r="G7" s="3">
        <v>74</v>
      </c>
      <c r="H7" s="3">
        <v>52</v>
      </c>
      <c r="I7" s="3">
        <v>22</v>
      </c>
      <c r="J7" s="3">
        <v>15</v>
      </c>
      <c r="K7" t="s">
        <v>20</v>
      </c>
      <c r="L7" s="2">
        <f t="shared" si="0"/>
        <v>5.2399999999999993</v>
      </c>
      <c r="M7" s="2">
        <f t="shared" si="1"/>
        <v>633.36</v>
      </c>
      <c r="N7" s="2">
        <f t="shared" si="2"/>
        <v>272.47999999999996</v>
      </c>
    </row>
    <row r="8" spans="1:14">
      <c r="A8" t="s">
        <v>34</v>
      </c>
      <c r="B8" t="s">
        <v>35</v>
      </c>
      <c r="C8" t="s">
        <v>13</v>
      </c>
      <c r="D8" t="s">
        <v>28</v>
      </c>
      <c r="E8" s="2">
        <v>6.74</v>
      </c>
      <c r="F8" s="2">
        <v>13.47</v>
      </c>
      <c r="G8" s="3">
        <v>21</v>
      </c>
      <c r="H8" s="3">
        <v>6</v>
      </c>
      <c r="I8" s="3">
        <v>15</v>
      </c>
      <c r="J8" s="3">
        <v>2</v>
      </c>
      <c r="K8" t="s">
        <v>20</v>
      </c>
      <c r="L8" s="2">
        <f t="shared" si="0"/>
        <v>6.73</v>
      </c>
      <c r="M8" s="2">
        <f t="shared" si="1"/>
        <v>80.820000000000007</v>
      </c>
      <c r="N8" s="2">
        <f t="shared" si="2"/>
        <v>40.380000000000003</v>
      </c>
    </row>
    <row r="9" spans="1:14">
      <c r="A9" t="s">
        <v>36</v>
      </c>
      <c r="B9" t="s">
        <v>37</v>
      </c>
      <c r="C9" t="s">
        <v>23</v>
      </c>
      <c r="D9" t="s">
        <v>24</v>
      </c>
      <c r="E9" s="2">
        <v>7.23</v>
      </c>
      <c r="F9" s="2">
        <v>9.67</v>
      </c>
      <c r="G9" s="3">
        <v>353</v>
      </c>
      <c r="H9" s="3">
        <v>72</v>
      </c>
      <c r="I9" s="3">
        <v>281</v>
      </c>
      <c r="J9" s="3">
        <v>51</v>
      </c>
      <c r="K9" t="s">
        <v>20</v>
      </c>
      <c r="L9" s="2">
        <f t="shared" si="0"/>
        <v>2.4399999999999995</v>
      </c>
      <c r="M9" s="2">
        <f t="shared" si="1"/>
        <v>696.24</v>
      </c>
      <c r="N9" s="2">
        <f t="shared" si="2"/>
        <v>175.67999999999995</v>
      </c>
    </row>
    <row r="10" spans="1:14">
      <c r="A10" t="s">
        <v>38</v>
      </c>
      <c r="B10" t="s">
        <v>32</v>
      </c>
      <c r="C10" t="s">
        <v>33</v>
      </c>
      <c r="D10" t="s">
        <v>39</v>
      </c>
      <c r="E10" s="2">
        <v>10.6</v>
      </c>
      <c r="F10" s="2">
        <v>16.760000000000002</v>
      </c>
      <c r="G10" s="3">
        <v>196</v>
      </c>
      <c r="H10" s="3">
        <v>59</v>
      </c>
      <c r="I10" s="3">
        <v>137</v>
      </c>
      <c r="J10" s="3">
        <v>26</v>
      </c>
      <c r="K10" t="s">
        <v>20</v>
      </c>
      <c r="L10" s="2">
        <f t="shared" si="0"/>
        <v>6.1600000000000019</v>
      </c>
      <c r="M10" s="2">
        <f t="shared" si="1"/>
        <v>988.84000000000015</v>
      </c>
      <c r="N10" s="2">
        <f t="shared" si="2"/>
        <v>363.44000000000011</v>
      </c>
    </row>
    <row r="11" spans="1:14">
      <c r="A11" t="s">
        <v>40</v>
      </c>
      <c r="B11" t="s">
        <v>41</v>
      </c>
      <c r="C11" t="s">
        <v>23</v>
      </c>
      <c r="D11" t="s">
        <v>42</v>
      </c>
      <c r="E11" s="2">
        <v>5.54</v>
      </c>
      <c r="F11" s="2">
        <v>9.5399999999999991</v>
      </c>
      <c r="G11" s="3">
        <v>38</v>
      </c>
      <c r="H11" s="3">
        <v>14</v>
      </c>
      <c r="I11" s="3">
        <v>24</v>
      </c>
      <c r="J11" s="3">
        <v>4</v>
      </c>
      <c r="K11" t="s">
        <v>20</v>
      </c>
      <c r="L11" s="2">
        <f t="shared" si="0"/>
        <v>3.9999999999999991</v>
      </c>
      <c r="M11" s="2">
        <f t="shared" si="1"/>
        <v>133.56</v>
      </c>
      <c r="N11" s="2">
        <f t="shared" si="2"/>
        <v>55.999999999999986</v>
      </c>
    </row>
    <row r="12" spans="1:14">
      <c r="A12" t="s">
        <v>43</v>
      </c>
      <c r="B12" t="s">
        <v>44</v>
      </c>
      <c r="C12" t="s">
        <v>13</v>
      </c>
      <c r="D12" t="s">
        <v>42</v>
      </c>
      <c r="E12" s="2">
        <v>9.67</v>
      </c>
      <c r="F12" s="2">
        <v>14.73</v>
      </c>
      <c r="G12" s="3">
        <v>150</v>
      </c>
      <c r="H12" s="3">
        <v>83</v>
      </c>
      <c r="I12" s="3">
        <v>67</v>
      </c>
      <c r="J12" s="3">
        <v>28</v>
      </c>
      <c r="K12" t="s">
        <v>20</v>
      </c>
      <c r="L12" s="2">
        <f t="shared" si="0"/>
        <v>5.0600000000000005</v>
      </c>
      <c r="M12" s="2">
        <f t="shared" si="1"/>
        <v>1222.5900000000001</v>
      </c>
      <c r="N12" s="2">
        <f t="shared" si="2"/>
        <v>419.98</v>
      </c>
    </row>
    <row r="13" spans="1:14">
      <c r="A13" t="s">
        <v>45</v>
      </c>
      <c r="B13" t="s">
        <v>46</v>
      </c>
      <c r="C13" t="s">
        <v>47</v>
      </c>
      <c r="D13" t="s">
        <v>48</v>
      </c>
      <c r="E13" s="2">
        <v>6.41</v>
      </c>
      <c r="F13" s="2">
        <v>11.37</v>
      </c>
      <c r="G13" s="3">
        <v>489</v>
      </c>
      <c r="H13" s="3">
        <v>211</v>
      </c>
      <c r="I13" s="3">
        <v>278</v>
      </c>
      <c r="J13" s="3">
        <v>50</v>
      </c>
      <c r="K13" t="s">
        <v>20</v>
      </c>
      <c r="L13" s="2">
        <f t="shared" si="0"/>
        <v>4.9599999999999991</v>
      </c>
      <c r="M13" s="2">
        <f t="shared" si="1"/>
        <v>2399.0699999999997</v>
      </c>
      <c r="N13" s="2">
        <f t="shared" si="2"/>
        <v>1046.5599999999997</v>
      </c>
    </row>
    <row r="14" spans="1:14">
      <c r="A14" t="s">
        <v>49</v>
      </c>
      <c r="B14" t="s">
        <v>50</v>
      </c>
      <c r="C14" t="s">
        <v>33</v>
      </c>
      <c r="D14" t="s">
        <v>14</v>
      </c>
      <c r="E14" s="2">
        <v>11.77</v>
      </c>
      <c r="F14" s="2">
        <v>25.18</v>
      </c>
      <c r="G14" s="3">
        <v>139</v>
      </c>
      <c r="H14" s="3">
        <v>14</v>
      </c>
      <c r="I14" s="3">
        <v>125</v>
      </c>
      <c r="J14" s="3">
        <v>22</v>
      </c>
      <c r="K14" t="s">
        <v>20</v>
      </c>
      <c r="L14" s="2">
        <f t="shared" si="0"/>
        <v>13.41</v>
      </c>
      <c r="M14" s="2">
        <f t="shared" si="1"/>
        <v>352.52</v>
      </c>
      <c r="N14" s="2">
        <f t="shared" si="2"/>
        <v>187.74</v>
      </c>
    </row>
    <row r="15" spans="1:14">
      <c r="A15" t="s">
        <v>51</v>
      </c>
      <c r="B15" t="s">
        <v>52</v>
      </c>
      <c r="C15" t="s">
        <v>53</v>
      </c>
      <c r="D15" t="s">
        <v>54</v>
      </c>
      <c r="E15" s="2">
        <v>33.159999999999997</v>
      </c>
      <c r="F15" s="2">
        <v>65.63</v>
      </c>
      <c r="G15" s="3">
        <v>150</v>
      </c>
      <c r="H15" s="3">
        <v>110</v>
      </c>
      <c r="I15" s="3">
        <v>40</v>
      </c>
      <c r="J15" s="3">
        <v>34</v>
      </c>
      <c r="K15" t="s">
        <v>20</v>
      </c>
      <c r="L15" s="2">
        <f t="shared" si="0"/>
        <v>32.47</v>
      </c>
      <c r="M15" s="2">
        <f t="shared" si="1"/>
        <v>7219.2999999999993</v>
      </c>
      <c r="N15" s="2">
        <f t="shared" si="2"/>
        <v>3571.7</v>
      </c>
    </row>
    <row r="16" spans="1:14">
      <c r="A16" t="s">
        <v>55</v>
      </c>
      <c r="B16" t="s">
        <v>56</v>
      </c>
      <c r="C16" t="s">
        <v>23</v>
      </c>
      <c r="D16" t="s">
        <v>42</v>
      </c>
      <c r="E16" s="2">
        <v>20.77</v>
      </c>
      <c r="F16" s="2">
        <v>30.26</v>
      </c>
      <c r="G16" s="3">
        <v>160</v>
      </c>
      <c r="H16" s="3">
        <v>143</v>
      </c>
      <c r="I16" s="3">
        <v>17</v>
      </c>
      <c r="J16" s="3">
        <v>33</v>
      </c>
      <c r="K16" t="s">
        <v>15</v>
      </c>
      <c r="L16" s="2">
        <f t="shared" si="0"/>
        <v>9.490000000000002</v>
      </c>
      <c r="M16" s="2">
        <f t="shared" si="1"/>
        <v>4327.18</v>
      </c>
      <c r="N16" s="2">
        <f t="shared" si="2"/>
        <v>1357.0700000000004</v>
      </c>
    </row>
    <row r="17" spans="1:14">
      <c r="A17" t="s">
        <v>57</v>
      </c>
      <c r="B17" t="s">
        <v>58</v>
      </c>
      <c r="C17" t="s">
        <v>18</v>
      </c>
      <c r="D17" t="s">
        <v>24</v>
      </c>
      <c r="E17" s="2">
        <v>7.12</v>
      </c>
      <c r="F17" s="2">
        <v>14.42</v>
      </c>
      <c r="G17" s="3">
        <v>337</v>
      </c>
      <c r="H17" s="3">
        <v>99</v>
      </c>
      <c r="I17" s="3">
        <v>238</v>
      </c>
      <c r="J17" s="3">
        <v>37</v>
      </c>
      <c r="K17" t="s">
        <v>20</v>
      </c>
      <c r="L17" s="2">
        <f t="shared" si="0"/>
        <v>7.3</v>
      </c>
      <c r="M17" s="2">
        <f t="shared" si="1"/>
        <v>1427.58</v>
      </c>
      <c r="N17" s="2">
        <f t="shared" si="2"/>
        <v>722.69999999999993</v>
      </c>
    </row>
    <row r="18" spans="1:14">
      <c r="A18" t="s">
        <v>59</v>
      </c>
      <c r="B18" t="s">
        <v>60</v>
      </c>
      <c r="C18" t="s">
        <v>47</v>
      </c>
      <c r="D18" t="s">
        <v>28</v>
      </c>
      <c r="E18" s="2">
        <v>6.76</v>
      </c>
      <c r="F18" s="2">
        <v>12.14</v>
      </c>
      <c r="G18" s="3">
        <v>458</v>
      </c>
      <c r="H18" s="3">
        <v>381</v>
      </c>
      <c r="I18" s="3">
        <v>77</v>
      </c>
      <c r="J18" s="3">
        <v>109</v>
      </c>
      <c r="K18" t="s">
        <v>15</v>
      </c>
      <c r="L18" s="2">
        <f t="shared" si="0"/>
        <v>5.3800000000000008</v>
      </c>
      <c r="M18" s="2">
        <f t="shared" si="1"/>
        <v>4625.34</v>
      </c>
      <c r="N18" s="2">
        <f t="shared" si="2"/>
        <v>2049.7800000000002</v>
      </c>
    </row>
    <row r="19" spans="1:14">
      <c r="A19" t="s">
        <v>61</v>
      </c>
      <c r="B19" t="s">
        <v>62</v>
      </c>
      <c r="C19" t="s">
        <v>13</v>
      </c>
      <c r="D19" t="s">
        <v>48</v>
      </c>
      <c r="E19" s="2">
        <v>6.4</v>
      </c>
      <c r="F19" s="2">
        <v>12.71</v>
      </c>
      <c r="G19" s="3">
        <v>470</v>
      </c>
      <c r="H19" s="3">
        <v>346</v>
      </c>
      <c r="I19" s="3">
        <v>124</v>
      </c>
      <c r="J19" s="3">
        <v>51</v>
      </c>
      <c r="K19" t="s">
        <v>20</v>
      </c>
      <c r="L19" s="2">
        <f t="shared" si="0"/>
        <v>6.3100000000000005</v>
      </c>
      <c r="M19" s="2">
        <f t="shared" si="1"/>
        <v>4397.66</v>
      </c>
      <c r="N19" s="2">
        <f t="shared" si="2"/>
        <v>2183.2600000000002</v>
      </c>
    </row>
    <row r="20" spans="1:14">
      <c r="A20" t="s">
        <v>63</v>
      </c>
      <c r="B20" t="s">
        <v>64</v>
      </c>
      <c r="C20" t="s">
        <v>18</v>
      </c>
      <c r="D20" t="s">
        <v>14</v>
      </c>
      <c r="E20" s="2">
        <v>15.81</v>
      </c>
      <c r="F20" s="2">
        <v>30.84</v>
      </c>
      <c r="G20" s="3">
        <v>114</v>
      </c>
      <c r="H20" s="3">
        <v>41</v>
      </c>
      <c r="I20" s="3">
        <v>73</v>
      </c>
      <c r="J20" s="3">
        <v>14</v>
      </c>
      <c r="K20" t="s">
        <v>20</v>
      </c>
      <c r="L20" s="2">
        <f t="shared" si="0"/>
        <v>15.03</v>
      </c>
      <c r="M20" s="2">
        <f t="shared" si="1"/>
        <v>1264.44</v>
      </c>
      <c r="N20" s="2">
        <f t="shared" si="2"/>
        <v>616.23</v>
      </c>
    </row>
    <row r="21" spans="1:14">
      <c r="A21" t="s">
        <v>65</v>
      </c>
      <c r="B21" t="s">
        <v>66</v>
      </c>
      <c r="C21" t="s">
        <v>18</v>
      </c>
      <c r="D21" t="s">
        <v>14</v>
      </c>
      <c r="E21" s="2">
        <v>14.02</v>
      </c>
      <c r="F21" s="2">
        <v>23.8</v>
      </c>
      <c r="G21" s="3">
        <v>21</v>
      </c>
      <c r="H21" s="3">
        <v>5</v>
      </c>
      <c r="I21" s="3">
        <v>16</v>
      </c>
      <c r="J21" s="3">
        <v>5</v>
      </c>
      <c r="K21" t="s">
        <v>20</v>
      </c>
      <c r="L21" s="2">
        <f t="shared" si="0"/>
        <v>9.7800000000000011</v>
      </c>
      <c r="M21" s="2">
        <f t="shared" si="1"/>
        <v>119</v>
      </c>
      <c r="N21" s="2">
        <f t="shared" si="2"/>
        <v>48.900000000000006</v>
      </c>
    </row>
    <row r="22" spans="1:14">
      <c r="A22" t="s">
        <v>67</v>
      </c>
      <c r="B22" t="s">
        <v>12</v>
      </c>
      <c r="C22" t="s">
        <v>13</v>
      </c>
      <c r="D22" t="s">
        <v>14</v>
      </c>
      <c r="E22" s="2">
        <v>23.27</v>
      </c>
      <c r="F22" s="2">
        <v>45.93</v>
      </c>
      <c r="G22" s="3">
        <v>438</v>
      </c>
      <c r="H22" s="3">
        <v>291</v>
      </c>
      <c r="I22" s="3">
        <v>147</v>
      </c>
      <c r="J22" s="3">
        <v>55</v>
      </c>
      <c r="K22" t="s">
        <v>20</v>
      </c>
      <c r="L22" s="2">
        <f t="shared" si="0"/>
        <v>22.66</v>
      </c>
      <c r="M22" s="2">
        <f t="shared" si="1"/>
        <v>13365.63</v>
      </c>
      <c r="N22" s="2">
        <f t="shared" si="2"/>
        <v>6594.06</v>
      </c>
    </row>
    <row r="23" spans="1:14">
      <c r="A23" t="s">
        <v>68</v>
      </c>
      <c r="B23" t="s">
        <v>69</v>
      </c>
      <c r="C23" t="s">
        <v>23</v>
      </c>
      <c r="D23" t="s">
        <v>54</v>
      </c>
      <c r="E23" s="2">
        <v>9.1999999999999993</v>
      </c>
      <c r="F23" s="2">
        <v>17.899999999999999</v>
      </c>
      <c r="G23" s="3">
        <v>466</v>
      </c>
      <c r="H23" s="3">
        <v>91</v>
      </c>
      <c r="I23" s="3">
        <v>375</v>
      </c>
      <c r="J23" s="3">
        <v>49</v>
      </c>
      <c r="K23" t="s">
        <v>20</v>
      </c>
      <c r="L23" s="2">
        <f t="shared" si="0"/>
        <v>8.6999999999999993</v>
      </c>
      <c r="M23" s="2">
        <f t="shared" si="1"/>
        <v>1628.8999999999999</v>
      </c>
      <c r="N23" s="2">
        <f t="shared" si="2"/>
        <v>791.69999999999993</v>
      </c>
    </row>
    <row r="24" spans="1:14">
      <c r="A24" t="s">
        <v>70</v>
      </c>
      <c r="B24" t="s">
        <v>46</v>
      </c>
      <c r="C24" t="s">
        <v>47</v>
      </c>
      <c r="D24" t="s">
        <v>19</v>
      </c>
      <c r="E24" s="2">
        <v>11.25</v>
      </c>
      <c r="F24" s="2">
        <v>18.59</v>
      </c>
      <c r="G24" s="3">
        <v>200</v>
      </c>
      <c r="H24" s="3">
        <v>183</v>
      </c>
      <c r="I24" s="3">
        <v>17</v>
      </c>
      <c r="J24" s="3">
        <v>35</v>
      </c>
      <c r="K24" t="s">
        <v>15</v>
      </c>
      <c r="L24" s="2">
        <f t="shared" si="0"/>
        <v>7.34</v>
      </c>
      <c r="M24" s="2">
        <f t="shared" si="1"/>
        <v>3401.97</v>
      </c>
      <c r="N24" s="2">
        <f t="shared" si="2"/>
        <v>1343.22</v>
      </c>
    </row>
    <row r="25" spans="1:14">
      <c r="A25" t="s">
        <v>71</v>
      </c>
      <c r="B25" t="s">
        <v>72</v>
      </c>
      <c r="C25" t="s">
        <v>27</v>
      </c>
      <c r="D25" t="s">
        <v>54</v>
      </c>
      <c r="E25" s="2">
        <v>9.3699999999999992</v>
      </c>
      <c r="F25" s="2">
        <v>19.14</v>
      </c>
      <c r="G25" s="3">
        <v>32</v>
      </c>
      <c r="H25" s="3">
        <v>22</v>
      </c>
      <c r="I25" s="3">
        <v>10</v>
      </c>
      <c r="J25" s="3">
        <v>5</v>
      </c>
      <c r="K25" t="s">
        <v>20</v>
      </c>
      <c r="L25" s="2">
        <f t="shared" si="0"/>
        <v>9.7700000000000014</v>
      </c>
      <c r="M25" s="2">
        <f t="shared" si="1"/>
        <v>421.08000000000004</v>
      </c>
      <c r="N25" s="2">
        <f t="shared" si="2"/>
        <v>214.94000000000003</v>
      </c>
    </row>
    <row r="26" spans="1:14">
      <c r="A26" t="s">
        <v>73</v>
      </c>
      <c r="B26" t="s">
        <v>74</v>
      </c>
      <c r="C26" t="s">
        <v>23</v>
      </c>
      <c r="D26" t="s">
        <v>54</v>
      </c>
      <c r="E26" s="2">
        <v>4.2300000000000004</v>
      </c>
      <c r="F26" s="2">
        <v>7.16</v>
      </c>
      <c r="G26" s="3">
        <v>454</v>
      </c>
      <c r="H26" s="3">
        <v>317</v>
      </c>
      <c r="I26" s="3">
        <v>137</v>
      </c>
      <c r="J26" s="3">
        <v>72</v>
      </c>
      <c r="K26" t="s">
        <v>20</v>
      </c>
      <c r="L26" s="2">
        <f t="shared" si="0"/>
        <v>2.9299999999999997</v>
      </c>
      <c r="M26" s="2">
        <f t="shared" si="1"/>
        <v>2269.7200000000003</v>
      </c>
      <c r="N26" s="2">
        <f t="shared" si="2"/>
        <v>928.81</v>
      </c>
    </row>
    <row r="27" spans="1:14">
      <c r="A27" t="s">
        <v>75</v>
      </c>
      <c r="B27" t="s">
        <v>76</v>
      </c>
      <c r="C27" t="s">
        <v>27</v>
      </c>
      <c r="D27" t="s">
        <v>77</v>
      </c>
      <c r="E27" s="2">
        <v>5.16</v>
      </c>
      <c r="F27" s="2">
        <v>9.85</v>
      </c>
      <c r="G27" s="3">
        <v>452</v>
      </c>
      <c r="H27" s="3">
        <v>259</v>
      </c>
      <c r="I27" s="3">
        <v>193</v>
      </c>
      <c r="J27" s="3">
        <v>88</v>
      </c>
      <c r="K27" t="s">
        <v>20</v>
      </c>
      <c r="L27" s="2">
        <f t="shared" si="0"/>
        <v>4.6899999999999995</v>
      </c>
      <c r="M27" s="2">
        <f t="shared" si="1"/>
        <v>2551.15</v>
      </c>
      <c r="N27" s="2">
        <f t="shared" si="2"/>
        <v>1214.7099999999998</v>
      </c>
    </row>
    <row r="28" spans="1:14">
      <c r="A28" t="s">
        <v>78</v>
      </c>
      <c r="B28" t="s">
        <v>79</v>
      </c>
      <c r="C28" t="s">
        <v>13</v>
      </c>
      <c r="D28" t="s">
        <v>48</v>
      </c>
      <c r="E28" s="2">
        <v>28.63</v>
      </c>
      <c r="F28" s="2">
        <v>37.31</v>
      </c>
      <c r="G28" s="3">
        <v>256</v>
      </c>
      <c r="H28" s="3">
        <v>171</v>
      </c>
      <c r="I28" s="3">
        <v>85</v>
      </c>
      <c r="J28" s="3">
        <v>31</v>
      </c>
      <c r="K28" t="s">
        <v>20</v>
      </c>
      <c r="L28" s="2">
        <f t="shared" si="0"/>
        <v>8.6800000000000033</v>
      </c>
      <c r="M28" s="2">
        <f t="shared" si="1"/>
        <v>6380.01</v>
      </c>
      <c r="N28" s="2">
        <f t="shared" si="2"/>
        <v>1484.2800000000007</v>
      </c>
    </row>
    <row r="29" spans="1:14">
      <c r="A29" t="s">
        <v>80</v>
      </c>
      <c r="B29" t="s">
        <v>81</v>
      </c>
      <c r="C29" t="s">
        <v>47</v>
      </c>
      <c r="D29" t="s">
        <v>24</v>
      </c>
      <c r="E29" s="2">
        <v>3.29</v>
      </c>
      <c r="F29" s="2">
        <v>4.8</v>
      </c>
      <c r="G29" s="3">
        <v>270</v>
      </c>
      <c r="H29" s="3">
        <v>102</v>
      </c>
      <c r="I29" s="3">
        <v>168</v>
      </c>
      <c r="J29" s="3">
        <v>63</v>
      </c>
      <c r="K29" t="s">
        <v>20</v>
      </c>
      <c r="L29" s="2">
        <f t="shared" si="0"/>
        <v>1.5099999999999998</v>
      </c>
      <c r="M29" s="2">
        <f t="shared" si="1"/>
        <v>489.59999999999997</v>
      </c>
      <c r="N29" s="2">
        <f t="shared" si="2"/>
        <v>154.01999999999998</v>
      </c>
    </row>
    <row r="30" spans="1:14">
      <c r="A30" t="s">
        <v>82</v>
      </c>
      <c r="B30" t="s">
        <v>83</v>
      </c>
      <c r="C30" t="s">
        <v>47</v>
      </c>
      <c r="D30" t="s">
        <v>54</v>
      </c>
      <c r="E30" s="2">
        <v>5.84</v>
      </c>
      <c r="F30" s="2">
        <v>12.09</v>
      </c>
      <c r="G30" s="3">
        <v>46</v>
      </c>
      <c r="H30" s="3">
        <v>32</v>
      </c>
      <c r="I30" s="3">
        <v>14</v>
      </c>
      <c r="J30" s="3">
        <v>9</v>
      </c>
      <c r="K30" t="s">
        <v>20</v>
      </c>
      <c r="L30" s="2">
        <f t="shared" si="0"/>
        <v>6.25</v>
      </c>
      <c r="M30" s="2">
        <f t="shared" si="1"/>
        <v>386.88</v>
      </c>
      <c r="N30" s="2">
        <f t="shared" si="2"/>
        <v>200</v>
      </c>
    </row>
    <row r="31" spans="1:14">
      <c r="A31" t="s">
        <v>84</v>
      </c>
      <c r="B31" t="s">
        <v>85</v>
      </c>
      <c r="C31" t="s">
        <v>27</v>
      </c>
      <c r="D31" t="s">
        <v>48</v>
      </c>
      <c r="E31" s="2">
        <v>9.58</v>
      </c>
      <c r="F31" s="2">
        <v>16.97</v>
      </c>
      <c r="G31" s="3">
        <v>153</v>
      </c>
      <c r="H31" s="3">
        <v>114</v>
      </c>
      <c r="I31" s="3">
        <v>39</v>
      </c>
      <c r="J31" s="3">
        <v>16</v>
      </c>
      <c r="K31" t="s">
        <v>20</v>
      </c>
      <c r="L31" s="2">
        <f t="shared" si="0"/>
        <v>7.3899999999999988</v>
      </c>
      <c r="M31" s="2">
        <f t="shared" si="1"/>
        <v>1934.58</v>
      </c>
      <c r="N31" s="2">
        <f t="shared" si="2"/>
        <v>842.45999999999981</v>
      </c>
    </row>
    <row r="32" spans="1:14">
      <c r="A32" t="s">
        <v>86</v>
      </c>
      <c r="B32" t="s">
        <v>87</v>
      </c>
      <c r="C32" t="s">
        <v>88</v>
      </c>
      <c r="D32" t="s">
        <v>14</v>
      </c>
      <c r="E32" s="2">
        <v>25.35</v>
      </c>
      <c r="F32" s="2">
        <v>49.22</v>
      </c>
      <c r="G32" s="3">
        <v>245</v>
      </c>
      <c r="H32" s="3">
        <v>159</v>
      </c>
      <c r="I32" s="3">
        <v>86</v>
      </c>
      <c r="J32" s="3">
        <v>42</v>
      </c>
      <c r="K32" t="s">
        <v>20</v>
      </c>
      <c r="L32" s="2">
        <f t="shared" si="0"/>
        <v>23.869999999999997</v>
      </c>
      <c r="M32" s="2">
        <f t="shared" si="1"/>
        <v>7825.98</v>
      </c>
      <c r="N32" s="2">
        <f t="shared" si="2"/>
        <v>3795.3299999999995</v>
      </c>
    </row>
    <row r="33" spans="1:14">
      <c r="A33" t="s">
        <v>89</v>
      </c>
      <c r="B33" t="s">
        <v>90</v>
      </c>
      <c r="C33" t="s">
        <v>88</v>
      </c>
      <c r="D33" t="s">
        <v>19</v>
      </c>
      <c r="E33" s="2">
        <v>34.159999999999997</v>
      </c>
      <c r="F33" s="2">
        <v>61.03</v>
      </c>
      <c r="G33" s="3">
        <v>40</v>
      </c>
      <c r="H33" s="3">
        <v>16</v>
      </c>
      <c r="I33" s="3">
        <v>24</v>
      </c>
      <c r="J33" s="3">
        <v>9</v>
      </c>
      <c r="K33" t="s">
        <v>20</v>
      </c>
      <c r="L33" s="2">
        <f t="shared" si="0"/>
        <v>26.870000000000005</v>
      </c>
      <c r="M33" s="2">
        <f t="shared" si="1"/>
        <v>976.48</v>
      </c>
      <c r="N33" s="2">
        <f t="shared" si="2"/>
        <v>429.92000000000007</v>
      </c>
    </row>
    <row r="34" spans="1:14">
      <c r="A34" t="s">
        <v>91</v>
      </c>
      <c r="B34" t="s">
        <v>92</v>
      </c>
      <c r="C34" t="s">
        <v>27</v>
      </c>
      <c r="D34" t="s">
        <v>42</v>
      </c>
      <c r="E34" s="2">
        <v>22.99</v>
      </c>
      <c r="F34" s="2">
        <v>41.67</v>
      </c>
      <c r="G34" s="3">
        <v>322</v>
      </c>
      <c r="H34" s="3">
        <v>287</v>
      </c>
      <c r="I34" s="3">
        <v>35</v>
      </c>
      <c r="J34" s="3">
        <v>48</v>
      </c>
      <c r="K34" t="s">
        <v>15</v>
      </c>
      <c r="L34" s="2">
        <f t="shared" si="0"/>
        <v>18.680000000000003</v>
      </c>
      <c r="M34" s="2">
        <f t="shared" si="1"/>
        <v>11959.29</v>
      </c>
      <c r="N34" s="2">
        <f t="shared" si="2"/>
        <v>5361.1600000000008</v>
      </c>
    </row>
    <row r="35" spans="1:14">
      <c r="A35" t="s">
        <v>93</v>
      </c>
      <c r="B35" t="s">
        <v>94</v>
      </c>
      <c r="C35" t="s">
        <v>33</v>
      </c>
      <c r="D35" t="s">
        <v>19</v>
      </c>
      <c r="E35" s="2">
        <v>10.27</v>
      </c>
      <c r="F35" s="2">
        <v>22.32</v>
      </c>
      <c r="G35" s="3">
        <v>137</v>
      </c>
      <c r="H35" s="3">
        <v>53</v>
      </c>
      <c r="I35" s="3">
        <v>84</v>
      </c>
      <c r="J35" s="3">
        <v>31</v>
      </c>
      <c r="K35" t="s">
        <v>20</v>
      </c>
      <c r="L35" s="2">
        <f t="shared" si="0"/>
        <v>12.05</v>
      </c>
      <c r="M35" s="2">
        <f t="shared" si="1"/>
        <v>1182.96</v>
      </c>
      <c r="N35" s="2">
        <f t="shared" si="2"/>
        <v>638.65000000000009</v>
      </c>
    </row>
    <row r="36" spans="1:14">
      <c r="A36" t="s">
        <v>95</v>
      </c>
      <c r="B36" t="s">
        <v>37</v>
      </c>
      <c r="C36" t="s">
        <v>23</v>
      </c>
      <c r="D36" t="s">
        <v>24</v>
      </c>
      <c r="E36" s="2">
        <v>7.76</v>
      </c>
      <c r="F36" s="2">
        <v>10.09</v>
      </c>
      <c r="G36" s="3">
        <v>261</v>
      </c>
      <c r="H36" s="3">
        <v>156</v>
      </c>
      <c r="I36" s="3">
        <v>105</v>
      </c>
      <c r="J36" s="3">
        <v>54</v>
      </c>
      <c r="K36" t="s">
        <v>20</v>
      </c>
      <c r="L36" s="2">
        <f t="shared" si="0"/>
        <v>2.33</v>
      </c>
      <c r="M36" s="2">
        <f t="shared" si="1"/>
        <v>1574.04</v>
      </c>
      <c r="N36" s="2">
        <f t="shared" si="2"/>
        <v>363.48</v>
      </c>
    </row>
    <row r="37" spans="1:14">
      <c r="A37" t="s">
        <v>96</v>
      </c>
      <c r="B37" t="s">
        <v>97</v>
      </c>
      <c r="C37" t="s">
        <v>53</v>
      </c>
      <c r="D37" t="s">
        <v>14</v>
      </c>
      <c r="E37" s="2">
        <v>10.3</v>
      </c>
      <c r="F37" s="2">
        <v>20.77</v>
      </c>
      <c r="G37" s="3">
        <v>457</v>
      </c>
      <c r="H37" s="3">
        <v>137</v>
      </c>
      <c r="I37" s="3">
        <v>320</v>
      </c>
      <c r="J37" s="3">
        <v>76</v>
      </c>
      <c r="K37" t="s">
        <v>20</v>
      </c>
      <c r="L37" s="2">
        <f t="shared" si="0"/>
        <v>10.469999999999999</v>
      </c>
      <c r="M37" s="2">
        <f t="shared" si="1"/>
        <v>2845.49</v>
      </c>
      <c r="N37" s="2">
        <f t="shared" si="2"/>
        <v>1434.3899999999999</v>
      </c>
    </row>
    <row r="38" spans="1:14">
      <c r="A38" t="s">
        <v>98</v>
      </c>
      <c r="B38" t="s">
        <v>99</v>
      </c>
      <c r="C38" t="s">
        <v>33</v>
      </c>
      <c r="D38" t="s">
        <v>100</v>
      </c>
      <c r="E38" s="2">
        <v>10.47</v>
      </c>
      <c r="F38" s="2">
        <v>18.100000000000001</v>
      </c>
      <c r="G38" s="3">
        <v>117</v>
      </c>
      <c r="H38" s="3">
        <v>108</v>
      </c>
      <c r="I38" s="3">
        <v>9</v>
      </c>
      <c r="J38" s="3">
        <v>12</v>
      </c>
      <c r="K38" t="s">
        <v>15</v>
      </c>
      <c r="L38" s="2">
        <f t="shared" si="0"/>
        <v>7.6300000000000008</v>
      </c>
      <c r="M38" s="2">
        <f t="shared" si="1"/>
        <v>1954.8000000000002</v>
      </c>
      <c r="N38" s="2">
        <f t="shared" si="2"/>
        <v>824.04000000000008</v>
      </c>
    </row>
    <row r="39" spans="1:14">
      <c r="A39" t="s">
        <v>101</v>
      </c>
      <c r="B39" t="s">
        <v>102</v>
      </c>
      <c r="C39" t="s">
        <v>53</v>
      </c>
      <c r="D39" t="s">
        <v>54</v>
      </c>
      <c r="E39" s="2">
        <v>27.01</v>
      </c>
      <c r="F39" s="2">
        <v>48.6</v>
      </c>
      <c r="G39" s="3">
        <v>381</v>
      </c>
      <c r="H39" s="3">
        <v>326</v>
      </c>
      <c r="I39" s="3">
        <v>55</v>
      </c>
      <c r="J39" s="3">
        <v>38</v>
      </c>
      <c r="K39" t="s">
        <v>20</v>
      </c>
      <c r="L39" s="2">
        <f t="shared" si="0"/>
        <v>21.59</v>
      </c>
      <c r="M39" s="2">
        <f t="shared" si="1"/>
        <v>15843.6</v>
      </c>
      <c r="N39" s="2">
        <f t="shared" si="2"/>
        <v>7038.34</v>
      </c>
    </row>
    <row r="40" spans="1:14">
      <c r="A40" t="s">
        <v>103</v>
      </c>
      <c r="B40" t="s">
        <v>104</v>
      </c>
      <c r="C40" t="s">
        <v>33</v>
      </c>
      <c r="D40" t="s">
        <v>77</v>
      </c>
      <c r="E40" s="2">
        <v>1.98</v>
      </c>
      <c r="F40" s="2">
        <v>3.78</v>
      </c>
      <c r="G40" s="3">
        <v>42</v>
      </c>
      <c r="H40" s="3">
        <v>25</v>
      </c>
      <c r="I40" s="3">
        <v>17</v>
      </c>
      <c r="J40" s="3">
        <v>4</v>
      </c>
      <c r="K40" t="s">
        <v>20</v>
      </c>
      <c r="L40" s="2">
        <f t="shared" si="0"/>
        <v>1.7999999999999998</v>
      </c>
      <c r="M40" s="2">
        <f t="shared" si="1"/>
        <v>94.5</v>
      </c>
      <c r="N40" s="2">
        <f t="shared" si="2"/>
        <v>44.999999999999993</v>
      </c>
    </row>
    <row r="41" spans="1:14">
      <c r="A41" t="s">
        <v>105</v>
      </c>
      <c r="B41" t="s">
        <v>106</v>
      </c>
      <c r="C41" t="s">
        <v>33</v>
      </c>
      <c r="D41" t="s">
        <v>48</v>
      </c>
      <c r="E41" s="2">
        <v>11.71</v>
      </c>
      <c r="F41" s="2">
        <v>22.03</v>
      </c>
      <c r="G41" s="3">
        <v>122</v>
      </c>
      <c r="H41" s="3">
        <v>33</v>
      </c>
      <c r="I41" s="3">
        <v>89</v>
      </c>
      <c r="J41" s="3">
        <v>12</v>
      </c>
      <c r="K41" t="s">
        <v>20</v>
      </c>
      <c r="L41" s="2">
        <f t="shared" si="0"/>
        <v>10.32</v>
      </c>
      <c r="M41" s="2">
        <f t="shared" si="1"/>
        <v>726.99</v>
      </c>
      <c r="N41" s="2">
        <f t="shared" si="2"/>
        <v>340.56</v>
      </c>
    </row>
    <row r="42" spans="1:14">
      <c r="A42" t="s">
        <v>107</v>
      </c>
      <c r="B42" t="s">
        <v>26</v>
      </c>
      <c r="C42" t="s">
        <v>27</v>
      </c>
      <c r="D42" t="s">
        <v>24</v>
      </c>
      <c r="E42" s="2">
        <v>23.76</v>
      </c>
      <c r="F42" s="2">
        <v>47.93</v>
      </c>
      <c r="G42" s="3">
        <v>316</v>
      </c>
      <c r="H42" s="3">
        <v>290</v>
      </c>
      <c r="I42" s="3">
        <v>26</v>
      </c>
      <c r="J42" s="3">
        <v>63</v>
      </c>
      <c r="K42" t="s">
        <v>15</v>
      </c>
      <c r="L42" s="2">
        <f t="shared" si="0"/>
        <v>24.169999999999998</v>
      </c>
      <c r="M42" s="2">
        <f t="shared" si="1"/>
        <v>13899.7</v>
      </c>
      <c r="N42" s="2">
        <f t="shared" si="2"/>
        <v>7009.2999999999993</v>
      </c>
    </row>
    <row r="43" spans="1:14">
      <c r="A43" t="s">
        <v>108</v>
      </c>
      <c r="B43" t="s">
        <v>106</v>
      </c>
      <c r="C43" t="s">
        <v>33</v>
      </c>
      <c r="D43" t="s">
        <v>42</v>
      </c>
      <c r="E43" s="2">
        <v>3.58</v>
      </c>
      <c r="F43" s="2">
        <v>6.74</v>
      </c>
      <c r="G43" s="3">
        <v>272</v>
      </c>
      <c r="H43" s="3">
        <v>243</v>
      </c>
      <c r="I43" s="3">
        <v>29</v>
      </c>
      <c r="J43" s="3">
        <v>63</v>
      </c>
      <c r="K43" t="s">
        <v>15</v>
      </c>
      <c r="L43" s="2">
        <f t="shared" si="0"/>
        <v>3.16</v>
      </c>
      <c r="M43" s="2">
        <f t="shared" si="1"/>
        <v>1637.8200000000002</v>
      </c>
      <c r="N43" s="2">
        <f t="shared" si="2"/>
        <v>767.88</v>
      </c>
    </row>
    <row r="44" spans="1:14">
      <c r="A44" t="s">
        <v>109</v>
      </c>
      <c r="B44" t="s">
        <v>110</v>
      </c>
      <c r="C44" t="s">
        <v>27</v>
      </c>
      <c r="D44" t="s">
        <v>24</v>
      </c>
      <c r="E44" s="2">
        <v>13.84</v>
      </c>
      <c r="F44" s="2">
        <v>28.88</v>
      </c>
      <c r="G44" s="3">
        <v>416</v>
      </c>
      <c r="H44" s="3">
        <v>146</v>
      </c>
      <c r="I44" s="3">
        <v>270</v>
      </c>
      <c r="J44" s="3">
        <v>68</v>
      </c>
      <c r="K44" t="s">
        <v>20</v>
      </c>
      <c r="L44" s="2">
        <f t="shared" si="0"/>
        <v>15.04</v>
      </c>
      <c r="M44" s="2">
        <f t="shared" si="1"/>
        <v>4216.4799999999996</v>
      </c>
      <c r="N44" s="2">
        <f t="shared" si="2"/>
        <v>2195.8399999999997</v>
      </c>
    </row>
    <row r="45" spans="1:14">
      <c r="A45" t="s">
        <v>111</v>
      </c>
      <c r="B45" t="s">
        <v>90</v>
      </c>
      <c r="C45" t="s">
        <v>88</v>
      </c>
      <c r="D45" t="s">
        <v>24</v>
      </c>
      <c r="E45" s="2">
        <v>21.7</v>
      </c>
      <c r="F45" s="2">
        <v>40.340000000000003</v>
      </c>
      <c r="G45" s="3">
        <v>402</v>
      </c>
      <c r="H45" s="3">
        <v>224</v>
      </c>
      <c r="I45" s="3">
        <v>178</v>
      </c>
      <c r="J45" s="3">
        <v>63</v>
      </c>
      <c r="K45" t="s">
        <v>20</v>
      </c>
      <c r="L45" s="2">
        <f t="shared" si="0"/>
        <v>18.640000000000004</v>
      </c>
      <c r="M45" s="2">
        <f t="shared" si="1"/>
        <v>9036.16</v>
      </c>
      <c r="N45" s="2">
        <f t="shared" si="2"/>
        <v>4175.3600000000006</v>
      </c>
    </row>
    <row r="46" spans="1:14">
      <c r="A46" t="s">
        <v>112</v>
      </c>
      <c r="B46" t="s">
        <v>30</v>
      </c>
      <c r="C46" t="s">
        <v>13</v>
      </c>
      <c r="D46" t="s">
        <v>39</v>
      </c>
      <c r="E46" s="2">
        <v>17.2</v>
      </c>
      <c r="F46" s="2">
        <v>23.67</v>
      </c>
      <c r="G46" s="3">
        <v>488</v>
      </c>
      <c r="H46" s="3">
        <v>238</v>
      </c>
      <c r="I46" s="3">
        <v>250</v>
      </c>
      <c r="J46" s="3">
        <v>49</v>
      </c>
      <c r="K46" t="s">
        <v>20</v>
      </c>
      <c r="L46" s="2">
        <f t="shared" si="0"/>
        <v>6.4700000000000024</v>
      </c>
      <c r="M46" s="2">
        <f t="shared" si="1"/>
        <v>5633.46</v>
      </c>
      <c r="N46" s="2">
        <f t="shared" si="2"/>
        <v>1539.8600000000006</v>
      </c>
    </row>
    <row r="47" spans="1:14">
      <c r="A47" t="s">
        <v>113</v>
      </c>
      <c r="B47" t="s">
        <v>114</v>
      </c>
      <c r="C47" t="s">
        <v>53</v>
      </c>
      <c r="D47" t="s">
        <v>54</v>
      </c>
      <c r="E47" s="2">
        <v>24.64</v>
      </c>
      <c r="F47" s="2">
        <v>41.77</v>
      </c>
      <c r="G47" s="3">
        <v>42</v>
      </c>
      <c r="H47" s="3">
        <v>38</v>
      </c>
      <c r="I47" s="3">
        <v>4</v>
      </c>
      <c r="J47" s="3">
        <v>5</v>
      </c>
      <c r="K47" t="s">
        <v>15</v>
      </c>
      <c r="L47" s="2">
        <f t="shared" si="0"/>
        <v>17.130000000000003</v>
      </c>
      <c r="M47" s="2">
        <f t="shared" si="1"/>
        <v>1587.2600000000002</v>
      </c>
      <c r="N47" s="2">
        <f t="shared" si="2"/>
        <v>650.94000000000005</v>
      </c>
    </row>
    <row r="48" spans="1:14">
      <c r="A48" t="s">
        <v>115</v>
      </c>
      <c r="B48" t="s">
        <v>116</v>
      </c>
      <c r="C48" t="s">
        <v>23</v>
      </c>
      <c r="D48" t="s">
        <v>48</v>
      </c>
      <c r="E48" s="2">
        <v>1.1200000000000001</v>
      </c>
      <c r="F48" s="2">
        <v>1.52</v>
      </c>
      <c r="G48" s="3">
        <v>416</v>
      </c>
      <c r="H48" s="3">
        <v>286</v>
      </c>
      <c r="I48" s="3">
        <v>130</v>
      </c>
      <c r="J48" s="3">
        <v>93</v>
      </c>
      <c r="K48" t="s">
        <v>20</v>
      </c>
      <c r="L48" s="2">
        <f t="shared" si="0"/>
        <v>0.39999999999999991</v>
      </c>
      <c r="M48" s="2">
        <f t="shared" si="1"/>
        <v>434.72</v>
      </c>
      <c r="N48" s="2">
        <f t="shared" si="2"/>
        <v>114.39999999999998</v>
      </c>
    </row>
    <row r="49" spans="1:14">
      <c r="A49" t="s">
        <v>117</v>
      </c>
      <c r="B49" t="s">
        <v>30</v>
      </c>
      <c r="C49" t="s">
        <v>13</v>
      </c>
      <c r="D49" t="s">
        <v>54</v>
      </c>
      <c r="E49" s="2">
        <v>20.97</v>
      </c>
      <c r="F49" s="2">
        <v>28.82</v>
      </c>
      <c r="G49" s="3">
        <v>156</v>
      </c>
      <c r="H49" s="3">
        <v>76</v>
      </c>
      <c r="I49" s="3">
        <v>80</v>
      </c>
      <c r="J49" s="3">
        <v>33</v>
      </c>
      <c r="K49" t="s">
        <v>20</v>
      </c>
      <c r="L49" s="2">
        <f t="shared" si="0"/>
        <v>7.8500000000000014</v>
      </c>
      <c r="M49" s="2">
        <f t="shared" si="1"/>
        <v>2190.3200000000002</v>
      </c>
      <c r="N49" s="2">
        <f t="shared" si="2"/>
        <v>596.60000000000014</v>
      </c>
    </row>
    <row r="50" spans="1:14">
      <c r="A50" t="s">
        <v>118</v>
      </c>
      <c r="B50" t="s">
        <v>119</v>
      </c>
      <c r="C50" t="s">
        <v>33</v>
      </c>
      <c r="D50" t="s">
        <v>39</v>
      </c>
      <c r="E50" s="2">
        <v>8.33</v>
      </c>
      <c r="F50" s="2">
        <v>12.46</v>
      </c>
      <c r="G50" s="3">
        <v>332</v>
      </c>
      <c r="H50" s="3">
        <v>165</v>
      </c>
      <c r="I50" s="3">
        <v>167</v>
      </c>
      <c r="J50" s="3">
        <v>64</v>
      </c>
      <c r="K50" t="s">
        <v>20</v>
      </c>
      <c r="L50" s="2">
        <f t="shared" si="0"/>
        <v>4.1300000000000008</v>
      </c>
      <c r="M50" s="2">
        <f t="shared" si="1"/>
        <v>2055.9</v>
      </c>
      <c r="N50" s="2">
        <f t="shared" si="2"/>
        <v>681.45000000000016</v>
      </c>
    </row>
    <row r="51" spans="1:14">
      <c r="A51" t="s">
        <v>120</v>
      </c>
      <c r="B51" t="s">
        <v>72</v>
      </c>
      <c r="C51" t="s">
        <v>27</v>
      </c>
      <c r="D51" t="s">
        <v>42</v>
      </c>
      <c r="E51" s="2">
        <v>14.05</v>
      </c>
      <c r="F51" s="2">
        <v>30.39</v>
      </c>
      <c r="G51" s="3">
        <v>291</v>
      </c>
      <c r="H51" s="3">
        <v>129</v>
      </c>
      <c r="I51" s="3">
        <v>162</v>
      </c>
      <c r="J51" s="3">
        <v>40</v>
      </c>
      <c r="K51" t="s">
        <v>20</v>
      </c>
      <c r="L51" s="2">
        <f t="shared" si="0"/>
        <v>16.34</v>
      </c>
      <c r="M51" s="2">
        <f t="shared" si="1"/>
        <v>3920.31</v>
      </c>
      <c r="N51" s="2">
        <f t="shared" si="2"/>
        <v>2107.86</v>
      </c>
    </row>
    <row r="52" spans="1:14">
      <c r="A52" t="s">
        <v>121</v>
      </c>
      <c r="B52" t="s">
        <v>76</v>
      </c>
      <c r="C52" t="s">
        <v>27</v>
      </c>
      <c r="D52" t="s">
        <v>42</v>
      </c>
      <c r="E52" s="2">
        <v>16.8</v>
      </c>
      <c r="F52" s="2">
        <v>22.4</v>
      </c>
      <c r="G52" s="3">
        <v>165</v>
      </c>
      <c r="H52" s="3">
        <v>55</v>
      </c>
      <c r="I52" s="3">
        <v>110</v>
      </c>
      <c r="J52" s="3">
        <v>17</v>
      </c>
      <c r="K52" t="s">
        <v>20</v>
      </c>
      <c r="L52" s="2">
        <f t="shared" si="0"/>
        <v>5.5999999999999979</v>
      </c>
      <c r="M52" s="2">
        <f t="shared" si="1"/>
        <v>1232</v>
      </c>
      <c r="N52" s="2">
        <f t="shared" si="2"/>
        <v>307.99999999999989</v>
      </c>
    </row>
    <row r="53" spans="1:14">
      <c r="A53" t="s">
        <v>122</v>
      </c>
      <c r="B53" t="s">
        <v>76</v>
      </c>
      <c r="C53" t="s">
        <v>27</v>
      </c>
      <c r="D53" t="s">
        <v>39</v>
      </c>
      <c r="E53" s="2">
        <v>3.96</v>
      </c>
      <c r="F53" s="2">
        <v>5.92</v>
      </c>
      <c r="G53" s="3">
        <v>46</v>
      </c>
      <c r="H53" s="3">
        <v>9</v>
      </c>
      <c r="I53" s="3">
        <v>37</v>
      </c>
      <c r="J53" s="3">
        <v>9</v>
      </c>
      <c r="K53" t="s">
        <v>20</v>
      </c>
      <c r="L53" s="2">
        <f t="shared" si="0"/>
        <v>1.96</v>
      </c>
      <c r="M53" s="2">
        <f t="shared" si="1"/>
        <v>53.28</v>
      </c>
      <c r="N53" s="2">
        <f t="shared" si="2"/>
        <v>17.64</v>
      </c>
    </row>
    <row r="54" spans="1:14">
      <c r="A54" t="s">
        <v>123</v>
      </c>
      <c r="B54" t="s">
        <v>124</v>
      </c>
      <c r="C54" t="s">
        <v>88</v>
      </c>
      <c r="D54" t="s">
        <v>54</v>
      </c>
      <c r="E54" s="2">
        <v>77.739999999999995</v>
      </c>
      <c r="F54" s="2">
        <v>129.41</v>
      </c>
      <c r="G54" s="3">
        <v>153</v>
      </c>
      <c r="H54" s="3">
        <v>75</v>
      </c>
      <c r="I54" s="3">
        <v>78</v>
      </c>
      <c r="J54" s="3">
        <v>16</v>
      </c>
      <c r="K54" t="s">
        <v>20</v>
      </c>
      <c r="L54" s="2">
        <f t="shared" si="0"/>
        <v>51.67</v>
      </c>
      <c r="M54" s="2">
        <f t="shared" si="1"/>
        <v>9705.75</v>
      </c>
      <c r="N54" s="2">
        <f t="shared" si="2"/>
        <v>3875.25</v>
      </c>
    </row>
    <row r="55" spans="1:14">
      <c r="A55" t="s">
        <v>125</v>
      </c>
      <c r="B55" t="s">
        <v>126</v>
      </c>
      <c r="C55" t="s">
        <v>23</v>
      </c>
      <c r="D55" t="s">
        <v>42</v>
      </c>
      <c r="E55" s="2">
        <v>11.5</v>
      </c>
      <c r="F55" s="2">
        <v>15.55</v>
      </c>
      <c r="G55" s="3">
        <v>65</v>
      </c>
      <c r="H55" s="3">
        <v>43</v>
      </c>
      <c r="I55" s="3">
        <v>22</v>
      </c>
      <c r="J55" s="3">
        <v>10</v>
      </c>
      <c r="K55" t="s">
        <v>20</v>
      </c>
      <c r="L55" s="2">
        <f t="shared" si="0"/>
        <v>4.0500000000000007</v>
      </c>
      <c r="M55" s="2">
        <f t="shared" si="1"/>
        <v>668.65</v>
      </c>
      <c r="N55" s="2">
        <f t="shared" si="2"/>
        <v>174.15000000000003</v>
      </c>
    </row>
    <row r="56" spans="1:14">
      <c r="A56" t="s">
        <v>127</v>
      </c>
      <c r="B56" t="s">
        <v>128</v>
      </c>
      <c r="C56" t="s">
        <v>53</v>
      </c>
      <c r="D56" t="s">
        <v>24</v>
      </c>
      <c r="E56" s="2">
        <v>8.86</v>
      </c>
      <c r="F56" s="2">
        <v>18.82</v>
      </c>
      <c r="G56" s="3">
        <v>392</v>
      </c>
      <c r="H56" s="3">
        <v>41</v>
      </c>
      <c r="I56" s="3">
        <v>351</v>
      </c>
      <c r="J56" s="3">
        <v>81</v>
      </c>
      <c r="K56" t="s">
        <v>20</v>
      </c>
      <c r="L56" s="2">
        <f t="shared" si="0"/>
        <v>9.9600000000000009</v>
      </c>
      <c r="M56" s="2">
        <f t="shared" si="1"/>
        <v>771.62</v>
      </c>
      <c r="N56" s="2">
        <f t="shared" si="2"/>
        <v>408.36</v>
      </c>
    </row>
    <row r="57" spans="1:14">
      <c r="A57" t="s">
        <v>129</v>
      </c>
      <c r="B57" t="s">
        <v>50</v>
      </c>
      <c r="C57" t="s">
        <v>33</v>
      </c>
      <c r="D57" t="s">
        <v>77</v>
      </c>
      <c r="E57" s="2">
        <v>5.56</v>
      </c>
      <c r="F57" s="2">
        <v>7.44</v>
      </c>
      <c r="G57" s="3">
        <v>144</v>
      </c>
      <c r="H57" s="3">
        <v>94</v>
      </c>
      <c r="I57" s="3">
        <v>50</v>
      </c>
      <c r="J57" s="3">
        <v>20</v>
      </c>
      <c r="K57" t="s">
        <v>20</v>
      </c>
      <c r="L57" s="2">
        <f t="shared" si="0"/>
        <v>1.8800000000000008</v>
      </c>
      <c r="M57" s="2">
        <f t="shared" si="1"/>
        <v>699.36</v>
      </c>
      <c r="N57" s="2">
        <f t="shared" si="2"/>
        <v>176.72000000000008</v>
      </c>
    </row>
    <row r="58" spans="1:14">
      <c r="A58" t="s">
        <v>130</v>
      </c>
      <c r="B58" t="s">
        <v>131</v>
      </c>
      <c r="C58" t="s">
        <v>88</v>
      </c>
      <c r="D58" t="s">
        <v>19</v>
      </c>
      <c r="E58" s="2">
        <v>60.97</v>
      </c>
      <c r="F58" s="2">
        <v>89.21</v>
      </c>
      <c r="G58" s="3">
        <v>385</v>
      </c>
      <c r="H58" s="3">
        <v>158</v>
      </c>
      <c r="I58" s="3">
        <v>227</v>
      </c>
      <c r="J58" s="3">
        <v>75</v>
      </c>
      <c r="K58" t="s">
        <v>20</v>
      </c>
      <c r="L58" s="2">
        <f t="shared" si="0"/>
        <v>28.239999999999995</v>
      </c>
      <c r="M58" s="2">
        <f t="shared" si="1"/>
        <v>14095.179999999998</v>
      </c>
      <c r="N58" s="2">
        <f t="shared" si="2"/>
        <v>4461.9199999999992</v>
      </c>
    </row>
    <row r="59" spans="1:14">
      <c r="A59" t="s">
        <v>132</v>
      </c>
      <c r="B59" t="s">
        <v>69</v>
      </c>
      <c r="C59" t="s">
        <v>23</v>
      </c>
      <c r="D59" t="s">
        <v>24</v>
      </c>
      <c r="E59" s="2">
        <v>5.18</v>
      </c>
      <c r="F59" s="2">
        <v>8.67</v>
      </c>
      <c r="G59" s="3">
        <v>222</v>
      </c>
      <c r="H59" s="3">
        <v>37</v>
      </c>
      <c r="I59" s="3">
        <v>185</v>
      </c>
      <c r="J59" s="3">
        <v>44</v>
      </c>
      <c r="K59" t="s">
        <v>20</v>
      </c>
      <c r="L59" s="2">
        <f t="shared" si="0"/>
        <v>3.49</v>
      </c>
      <c r="M59" s="2">
        <f t="shared" si="1"/>
        <v>320.79000000000002</v>
      </c>
      <c r="N59" s="2">
        <f t="shared" si="2"/>
        <v>129.13</v>
      </c>
    </row>
    <row r="60" spans="1:14">
      <c r="A60" t="s">
        <v>133</v>
      </c>
      <c r="B60" t="s">
        <v>74</v>
      </c>
      <c r="C60" t="s">
        <v>23</v>
      </c>
      <c r="D60" t="s">
        <v>39</v>
      </c>
      <c r="E60" s="2">
        <v>22.87</v>
      </c>
      <c r="F60" s="2">
        <v>32.799999999999997</v>
      </c>
      <c r="G60" s="3">
        <v>34</v>
      </c>
      <c r="H60" s="3">
        <v>11</v>
      </c>
      <c r="I60" s="3">
        <v>23</v>
      </c>
      <c r="J60" s="3">
        <v>5</v>
      </c>
      <c r="K60" t="s">
        <v>20</v>
      </c>
      <c r="L60" s="2">
        <f t="shared" si="0"/>
        <v>9.9299999999999962</v>
      </c>
      <c r="M60" s="2">
        <f t="shared" si="1"/>
        <v>360.79999999999995</v>
      </c>
      <c r="N60" s="2">
        <f t="shared" si="2"/>
        <v>109.22999999999996</v>
      </c>
    </row>
    <row r="61" spans="1:14">
      <c r="A61" t="s">
        <v>134</v>
      </c>
      <c r="B61" t="s">
        <v>135</v>
      </c>
      <c r="C61" t="s">
        <v>18</v>
      </c>
      <c r="D61" t="s">
        <v>24</v>
      </c>
      <c r="E61" s="2">
        <v>15.35</v>
      </c>
      <c r="F61" s="2">
        <v>25.52</v>
      </c>
      <c r="G61" s="3">
        <v>409</v>
      </c>
      <c r="H61" s="3">
        <v>83</v>
      </c>
      <c r="I61" s="3">
        <v>326</v>
      </c>
      <c r="J61" s="3">
        <v>89</v>
      </c>
      <c r="K61" t="s">
        <v>20</v>
      </c>
      <c r="L61" s="2">
        <f t="shared" si="0"/>
        <v>10.17</v>
      </c>
      <c r="M61" s="2">
        <f t="shared" si="1"/>
        <v>2118.16</v>
      </c>
      <c r="N61" s="2">
        <f t="shared" si="2"/>
        <v>844.11</v>
      </c>
    </row>
    <row r="62" spans="1:14">
      <c r="A62" t="s">
        <v>136</v>
      </c>
      <c r="B62" t="s">
        <v>37</v>
      </c>
      <c r="C62" t="s">
        <v>23</v>
      </c>
      <c r="D62" t="s">
        <v>14</v>
      </c>
      <c r="E62" s="2">
        <v>23.78</v>
      </c>
      <c r="F62" s="2">
        <v>39.71</v>
      </c>
      <c r="G62" s="3">
        <v>148</v>
      </c>
      <c r="H62" s="3">
        <v>83</v>
      </c>
      <c r="I62" s="3">
        <v>65</v>
      </c>
      <c r="J62" s="3">
        <v>30</v>
      </c>
      <c r="K62" t="s">
        <v>20</v>
      </c>
      <c r="L62" s="2">
        <f t="shared" si="0"/>
        <v>15.93</v>
      </c>
      <c r="M62" s="2">
        <f t="shared" si="1"/>
        <v>3295.9300000000003</v>
      </c>
      <c r="N62" s="2">
        <f t="shared" si="2"/>
        <v>1322.19</v>
      </c>
    </row>
    <row r="63" spans="1:14">
      <c r="A63" t="s">
        <v>137</v>
      </c>
      <c r="B63" t="s">
        <v>119</v>
      </c>
      <c r="C63" t="s">
        <v>33</v>
      </c>
      <c r="D63" t="s">
        <v>54</v>
      </c>
      <c r="E63" s="2">
        <v>8.08</v>
      </c>
      <c r="F63" s="2">
        <v>14.43</v>
      </c>
      <c r="G63" s="3">
        <v>62</v>
      </c>
      <c r="H63" s="3">
        <v>56</v>
      </c>
      <c r="I63" s="3">
        <v>6</v>
      </c>
      <c r="J63" s="3">
        <v>9</v>
      </c>
      <c r="K63" t="s">
        <v>15</v>
      </c>
      <c r="L63" s="2">
        <f t="shared" si="0"/>
        <v>6.35</v>
      </c>
      <c r="M63" s="2">
        <f t="shared" si="1"/>
        <v>808.07999999999993</v>
      </c>
      <c r="N63" s="2">
        <f t="shared" si="2"/>
        <v>355.59999999999997</v>
      </c>
    </row>
    <row r="64" spans="1:14">
      <c r="A64" t="s">
        <v>138</v>
      </c>
      <c r="B64" t="s">
        <v>56</v>
      </c>
      <c r="C64" t="s">
        <v>23</v>
      </c>
      <c r="D64" t="s">
        <v>42</v>
      </c>
      <c r="E64" s="2">
        <v>22.91</v>
      </c>
      <c r="F64" s="2">
        <v>40.42</v>
      </c>
      <c r="G64" s="3">
        <v>75</v>
      </c>
      <c r="H64" s="3">
        <v>65</v>
      </c>
      <c r="I64" s="3">
        <v>10</v>
      </c>
      <c r="J64" s="3">
        <v>17</v>
      </c>
      <c r="K64" t="s">
        <v>15</v>
      </c>
      <c r="L64" s="2">
        <f t="shared" si="0"/>
        <v>17.510000000000002</v>
      </c>
      <c r="M64" s="2">
        <f t="shared" si="1"/>
        <v>2627.3</v>
      </c>
      <c r="N64" s="2">
        <f t="shared" si="2"/>
        <v>1138.1500000000001</v>
      </c>
    </row>
    <row r="65" spans="1:14">
      <c r="A65" t="s">
        <v>139</v>
      </c>
      <c r="B65" t="s">
        <v>35</v>
      </c>
      <c r="C65" t="s">
        <v>13</v>
      </c>
      <c r="D65" t="s">
        <v>28</v>
      </c>
      <c r="E65" s="2">
        <v>11.4</v>
      </c>
      <c r="F65" s="2">
        <v>24.77</v>
      </c>
      <c r="G65" s="3">
        <v>207</v>
      </c>
      <c r="H65" s="3">
        <v>118</v>
      </c>
      <c r="I65" s="3">
        <v>89</v>
      </c>
      <c r="J65" s="3">
        <v>21</v>
      </c>
      <c r="K65" t="s">
        <v>20</v>
      </c>
      <c r="L65" s="2">
        <f t="shared" si="0"/>
        <v>13.37</v>
      </c>
      <c r="M65" s="2">
        <f t="shared" si="1"/>
        <v>2922.86</v>
      </c>
      <c r="N65" s="2">
        <f t="shared" si="2"/>
        <v>1577.6599999999999</v>
      </c>
    </row>
    <row r="66" spans="1:14">
      <c r="A66" t="s">
        <v>140</v>
      </c>
      <c r="B66" t="s">
        <v>141</v>
      </c>
      <c r="C66" t="s">
        <v>47</v>
      </c>
      <c r="D66" t="s">
        <v>24</v>
      </c>
      <c r="E66" s="2">
        <v>2.4900000000000002</v>
      </c>
      <c r="F66" s="2">
        <v>3.88</v>
      </c>
      <c r="G66" s="3">
        <v>131</v>
      </c>
      <c r="H66" s="3">
        <v>104</v>
      </c>
      <c r="I66" s="3">
        <v>27</v>
      </c>
      <c r="J66" s="3">
        <v>20</v>
      </c>
      <c r="K66" t="s">
        <v>20</v>
      </c>
      <c r="L66" s="2">
        <f t="shared" si="0"/>
        <v>1.3899999999999997</v>
      </c>
      <c r="M66" s="2">
        <f t="shared" si="1"/>
        <v>403.52</v>
      </c>
      <c r="N66" s="2">
        <f t="shared" si="2"/>
        <v>144.55999999999997</v>
      </c>
    </row>
    <row r="67" spans="1:14">
      <c r="A67" t="s">
        <v>142</v>
      </c>
      <c r="B67" t="s">
        <v>32</v>
      </c>
      <c r="C67" t="s">
        <v>33</v>
      </c>
      <c r="D67" t="s">
        <v>19</v>
      </c>
      <c r="E67" s="2">
        <v>10.86</v>
      </c>
      <c r="F67" s="2">
        <v>21.62</v>
      </c>
      <c r="G67" s="3">
        <v>216</v>
      </c>
      <c r="H67" s="3">
        <v>119</v>
      </c>
      <c r="I67" s="3">
        <v>97</v>
      </c>
      <c r="J67" s="3">
        <v>25</v>
      </c>
      <c r="K67" t="s">
        <v>20</v>
      </c>
      <c r="L67" s="2">
        <f t="shared" ref="L67:L130" si="3">F67-E67</f>
        <v>10.760000000000002</v>
      </c>
      <c r="M67" s="2">
        <f t="shared" ref="M67:M130" si="4">H67*F67</f>
        <v>2572.7800000000002</v>
      </c>
      <c r="N67" s="2">
        <f t="shared" ref="N67:N130" si="5">H67*L67</f>
        <v>1280.4400000000003</v>
      </c>
    </row>
    <row r="68" spans="1:14">
      <c r="A68" t="s">
        <v>143</v>
      </c>
      <c r="B68" t="s">
        <v>144</v>
      </c>
      <c r="C68" t="s">
        <v>88</v>
      </c>
      <c r="D68" t="s">
        <v>100</v>
      </c>
      <c r="E68" s="2">
        <v>65.400000000000006</v>
      </c>
      <c r="F68" s="2">
        <v>92.21</v>
      </c>
      <c r="G68" s="3">
        <v>188</v>
      </c>
      <c r="H68" s="3">
        <v>58</v>
      </c>
      <c r="I68" s="3">
        <v>130</v>
      </c>
      <c r="J68" s="3">
        <v>22</v>
      </c>
      <c r="K68" t="s">
        <v>20</v>
      </c>
      <c r="L68" s="2">
        <f t="shared" si="3"/>
        <v>26.809999999999988</v>
      </c>
      <c r="M68" s="2">
        <f t="shared" si="4"/>
        <v>5348.1799999999994</v>
      </c>
      <c r="N68" s="2">
        <f t="shared" si="5"/>
        <v>1554.9799999999993</v>
      </c>
    </row>
    <row r="69" spans="1:14">
      <c r="A69" t="s">
        <v>145</v>
      </c>
      <c r="B69" t="s">
        <v>76</v>
      </c>
      <c r="C69" t="s">
        <v>27</v>
      </c>
      <c r="D69" t="s">
        <v>39</v>
      </c>
      <c r="E69" s="2">
        <v>14.11</v>
      </c>
      <c r="F69" s="2">
        <v>21.45</v>
      </c>
      <c r="G69" s="3">
        <v>232</v>
      </c>
      <c r="H69" s="3">
        <v>206</v>
      </c>
      <c r="I69" s="3">
        <v>26</v>
      </c>
      <c r="J69" s="3">
        <v>26</v>
      </c>
      <c r="K69" t="s">
        <v>15</v>
      </c>
      <c r="L69" s="2">
        <f t="shared" si="3"/>
        <v>7.34</v>
      </c>
      <c r="M69" s="2">
        <f t="shared" si="4"/>
        <v>4418.7</v>
      </c>
      <c r="N69" s="2">
        <f t="shared" si="5"/>
        <v>1512.04</v>
      </c>
    </row>
    <row r="70" spans="1:14">
      <c r="A70" t="s">
        <v>146</v>
      </c>
      <c r="B70" t="s">
        <v>147</v>
      </c>
      <c r="C70" t="s">
        <v>33</v>
      </c>
      <c r="D70" t="s">
        <v>28</v>
      </c>
      <c r="E70" s="2">
        <v>6.88</v>
      </c>
      <c r="F70" s="2">
        <v>10.96</v>
      </c>
      <c r="G70" s="3">
        <v>189</v>
      </c>
      <c r="H70" s="3">
        <v>97</v>
      </c>
      <c r="I70" s="3">
        <v>92</v>
      </c>
      <c r="J70" s="3">
        <v>41</v>
      </c>
      <c r="K70" t="s">
        <v>20</v>
      </c>
      <c r="L70" s="2">
        <f t="shared" si="3"/>
        <v>4.080000000000001</v>
      </c>
      <c r="M70" s="2">
        <f t="shared" si="4"/>
        <v>1063.1200000000001</v>
      </c>
      <c r="N70" s="2">
        <f t="shared" si="5"/>
        <v>395.7600000000001</v>
      </c>
    </row>
    <row r="71" spans="1:14">
      <c r="A71" t="s">
        <v>148</v>
      </c>
      <c r="B71" t="s">
        <v>149</v>
      </c>
      <c r="C71" t="s">
        <v>47</v>
      </c>
      <c r="D71" t="s">
        <v>39</v>
      </c>
      <c r="E71" s="2">
        <v>2.27</v>
      </c>
      <c r="F71" s="2">
        <v>3.49</v>
      </c>
      <c r="G71" s="3">
        <v>241</v>
      </c>
      <c r="H71" s="3">
        <v>30</v>
      </c>
      <c r="I71" s="3">
        <v>211</v>
      </c>
      <c r="J71" s="3">
        <v>28</v>
      </c>
      <c r="K71" t="s">
        <v>20</v>
      </c>
      <c r="L71" s="2">
        <f t="shared" si="3"/>
        <v>1.2200000000000002</v>
      </c>
      <c r="M71" s="2">
        <f t="shared" si="4"/>
        <v>104.7</v>
      </c>
      <c r="N71" s="2">
        <f t="shared" si="5"/>
        <v>36.600000000000009</v>
      </c>
    </row>
    <row r="72" spans="1:14">
      <c r="A72" t="s">
        <v>150</v>
      </c>
      <c r="B72" t="s">
        <v>151</v>
      </c>
      <c r="C72" t="s">
        <v>53</v>
      </c>
      <c r="D72" t="s">
        <v>100</v>
      </c>
      <c r="E72" s="2">
        <v>31.63</v>
      </c>
      <c r="F72" s="2">
        <v>52.56</v>
      </c>
      <c r="G72" s="3">
        <v>172</v>
      </c>
      <c r="H72" s="3">
        <v>19</v>
      </c>
      <c r="I72" s="3">
        <v>153</v>
      </c>
      <c r="J72" s="3">
        <v>32</v>
      </c>
      <c r="K72" t="s">
        <v>20</v>
      </c>
      <c r="L72" s="2">
        <f t="shared" si="3"/>
        <v>20.930000000000003</v>
      </c>
      <c r="M72" s="2">
        <f t="shared" si="4"/>
        <v>998.6400000000001</v>
      </c>
      <c r="N72" s="2">
        <f t="shared" si="5"/>
        <v>397.67000000000007</v>
      </c>
    </row>
    <row r="73" spans="1:14">
      <c r="A73" t="s">
        <v>152</v>
      </c>
      <c r="B73" t="s">
        <v>153</v>
      </c>
      <c r="C73" t="s">
        <v>27</v>
      </c>
      <c r="D73" t="s">
        <v>19</v>
      </c>
      <c r="E73" s="2">
        <v>21.3</v>
      </c>
      <c r="F73" s="2">
        <v>38.340000000000003</v>
      </c>
      <c r="G73" s="3">
        <v>104</v>
      </c>
      <c r="H73" s="3">
        <v>26</v>
      </c>
      <c r="I73" s="3">
        <v>78</v>
      </c>
      <c r="J73" s="3">
        <v>19</v>
      </c>
      <c r="K73" t="s">
        <v>20</v>
      </c>
      <c r="L73" s="2">
        <f t="shared" si="3"/>
        <v>17.040000000000003</v>
      </c>
      <c r="M73" s="2">
        <f t="shared" si="4"/>
        <v>996.84000000000015</v>
      </c>
      <c r="N73" s="2">
        <f t="shared" si="5"/>
        <v>443.04000000000008</v>
      </c>
    </row>
    <row r="74" spans="1:14">
      <c r="A74" t="s">
        <v>154</v>
      </c>
      <c r="B74" t="s">
        <v>58</v>
      </c>
      <c r="C74" t="s">
        <v>18</v>
      </c>
      <c r="D74" t="s">
        <v>14</v>
      </c>
      <c r="E74" s="2">
        <v>1</v>
      </c>
      <c r="F74" s="2">
        <v>1.64</v>
      </c>
      <c r="G74" s="3">
        <v>305</v>
      </c>
      <c r="H74" s="3">
        <v>99</v>
      </c>
      <c r="I74" s="3">
        <v>206</v>
      </c>
      <c r="J74" s="3">
        <v>69</v>
      </c>
      <c r="K74" t="s">
        <v>20</v>
      </c>
      <c r="L74" s="2">
        <f t="shared" si="3"/>
        <v>0.6399999999999999</v>
      </c>
      <c r="M74" s="2">
        <f t="shared" si="4"/>
        <v>162.35999999999999</v>
      </c>
      <c r="N74" s="2">
        <f t="shared" si="5"/>
        <v>63.359999999999992</v>
      </c>
    </row>
    <row r="75" spans="1:14">
      <c r="A75" t="s">
        <v>155</v>
      </c>
      <c r="B75" t="s">
        <v>156</v>
      </c>
      <c r="C75" t="s">
        <v>47</v>
      </c>
      <c r="D75" t="s">
        <v>42</v>
      </c>
      <c r="E75" s="2">
        <v>9.9700000000000006</v>
      </c>
      <c r="F75" s="2">
        <v>13.17</v>
      </c>
      <c r="G75" s="3">
        <v>63</v>
      </c>
      <c r="H75" s="3">
        <v>38</v>
      </c>
      <c r="I75" s="3">
        <v>25</v>
      </c>
      <c r="J75" s="3">
        <v>14</v>
      </c>
      <c r="K75" t="s">
        <v>20</v>
      </c>
      <c r="L75" s="2">
        <f t="shared" si="3"/>
        <v>3.1999999999999993</v>
      </c>
      <c r="M75" s="2">
        <f t="shared" si="4"/>
        <v>500.46</v>
      </c>
      <c r="N75" s="2">
        <f t="shared" si="5"/>
        <v>121.59999999999997</v>
      </c>
    </row>
    <row r="76" spans="1:14">
      <c r="A76" t="s">
        <v>157</v>
      </c>
      <c r="B76" t="s">
        <v>90</v>
      </c>
      <c r="C76" t="s">
        <v>88</v>
      </c>
      <c r="D76" t="s">
        <v>54</v>
      </c>
      <c r="E76" s="2">
        <v>9.52</v>
      </c>
      <c r="F76" s="2">
        <v>13.38</v>
      </c>
      <c r="G76" s="3">
        <v>434</v>
      </c>
      <c r="H76" s="3">
        <v>205</v>
      </c>
      <c r="I76" s="3">
        <v>229</v>
      </c>
      <c r="J76" s="3">
        <v>71</v>
      </c>
      <c r="K76" t="s">
        <v>20</v>
      </c>
      <c r="L76" s="2">
        <f t="shared" si="3"/>
        <v>3.8600000000000012</v>
      </c>
      <c r="M76" s="2">
        <f t="shared" si="4"/>
        <v>2742.9</v>
      </c>
      <c r="N76" s="2">
        <f t="shared" si="5"/>
        <v>791.3000000000003</v>
      </c>
    </row>
    <row r="77" spans="1:14">
      <c r="A77" t="s">
        <v>158</v>
      </c>
      <c r="B77" t="s">
        <v>124</v>
      </c>
      <c r="C77" t="s">
        <v>88</v>
      </c>
      <c r="D77" t="s">
        <v>77</v>
      </c>
      <c r="E77" s="2">
        <v>74.16</v>
      </c>
      <c r="F77" s="2">
        <v>100.42</v>
      </c>
      <c r="G77" s="3">
        <v>294</v>
      </c>
      <c r="H77" s="3">
        <v>75</v>
      </c>
      <c r="I77" s="3">
        <v>219</v>
      </c>
      <c r="J77" s="3">
        <v>48</v>
      </c>
      <c r="K77" t="s">
        <v>20</v>
      </c>
      <c r="L77" s="2">
        <f t="shared" si="3"/>
        <v>26.260000000000005</v>
      </c>
      <c r="M77" s="2">
        <f t="shared" si="4"/>
        <v>7531.5</v>
      </c>
      <c r="N77" s="2">
        <f t="shared" si="5"/>
        <v>1969.5000000000005</v>
      </c>
    </row>
    <row r="78" spans="1:14">
      <c r="A78" t="s">
        <v>159</v>
      </c>
      <c r="B78" t="s">
        <v>116</v>
      </c>
      <c r="C78" t="s">
        <v>23</v>
      </c>
      <c r="D78" t="s">
        <v>24</v>
      </c>
      <c r="E78" s="2">
        <v>1.79</v>
      </c>
      <c r="F78" s="2">
        <v>3.33</v>
      </c>
      <c r="G78" s="3">
        <v>111</v>
      </c>
      <c r="H78" s="3">
        <v>43</v>
      </c>
      <c r="I78" s="3">
        <v>68</v>
      </c>
      <c r="J78" s="3">
        <v>17</v>
      </c>
      <c r="K78" t="s">
        <v>20</v>
      </c>
      <c r="L78" s="2">
        <f t="shared" si="3"/>
        <v>1.54</v>
      </c>
      <c r="M78" s="2">
        <f t="shared" si="4"/>
        <v>143.19</v>
      </c>
      <c r="N78" s="2">
        <f t="shared" si="5"/>
        <v>66.22</v>
      </c>
    </row>
    <row r="79" spans="1:14">
      <c r="A79" t="s">
        <v>160</v>
      </c>
      <c r="B79" t="s">
        <v>22</v>
      </c>
      <c r="C79" t="s">
        <v>23</v>
      </c>
      <c r="D79" t="s">
        <v>14</v>
      </c>
      <c r="E79" s="2">
        <v>24.03</v>
      </c>
      <c r="F79" s="2">
        <v>49.91</v>
      </c>
      <c r="G79" s="3">
        <v>455</v>
      </c>
      <c r="H79" s="3">
        <v>178</v>
      </c>
      <c r="I79" s="3">
        <v>277</v>
      </c>
      <c r="J79" s="3">
        <v>52</v>
      </c>
      <c r="K79" t="s">
        <v>20</v>
      </c>
      <c r="L79" s="2">
        <f t="shared" si="3"/>
        <v>25.879999999999995</v>
      </c>
      <c r="M79" s="2">
        <f t="shared" si="4"/>
        <v>8883.98</v>
      </c>
      <c r="N79" s="2">
        <f t="shared" si="5"/>
        <v>4606.6399999999994</v>
      </c>
    </row>
    <row r="80" spans="1:14">
      <c r="A80" t="s">
        <v>161</v>
      </c>
      <c r="B80" t="s">
        <v>66</v>
      </c>
      <c r="C80" t="s">
        <v>18</v>
      </c>
      <c r="D80" t="s">
        <v>24</v>
      </c>
      <c r="E80" s="2">
        <v>19.239999999999998</v>
      </c>
      <c r="F80" s="2">
        <v>31.22</v>
      </c>
      <c r="G80" s="3">
        <v>68</v>
      </c>
      <c r="H80" s="3">
        <v>16</v>
      </c>
      <c r="I80" s="3">
        <v>52</v>
      </c>
      <c r="J80" s="3">
        <v>13</v>
      </c>
      <c r="K80" t="s">
        <v>20</v>
      </c>
      <c r="L80" s="2">
        <f t="shared" si="3"/>
        <v>11.98</v>
      </c>
      <c r="M80" s="2">
        <f t="shared" si="4"/>
        <v>499.52</v>
      </c>
      <c r="N80" s="2">
        <f t="shared" si="5"/>
        <v>191.68</v>
      </c>
    </row>
    <row r="81" spans="1:14">
      <c r="A81" t="s">
        <v>162</v>
      </c>
      <c r="B81" t="s">
        <v>104</v>
      </c>
      <c r="C81" t="s">
        <v>33</v>
      </c>
      <c r="D81" t="s">
        <v>24</v>
      </c>
      <c r="E81" s="2">
        <v>7.32</v>
      </c>
      <c r="F81" s="2">
        <v>14.41</v>
      </c>
      <c r="G81" s="3">
        <v>197</v>
      </c>
      <c r="H81" s="3">
        <v>150</v>
      </c>
      <c r="I81" s="3">
        <v>47</v>
      </c>
      <c r="J81" s="3">
        <v>48</v>
      </c>
      <c r="K81" t="s">
        <v>15</v>
      </c>
      <c r="L81" s="2">
        <f t="shared" si="3"/>
        <v>7.09</v>
      </c>
      <c r="M81" s="2">
        <f t="shared" si="4"/>
        <v>2161.5</v>
      </c>
      <c r="N81" s="2">
        <f t="shared" si="5"/>
        <v>1063.5</v>
      </c>
    </row>
    <row r="82" spans="1:14">
      <c r="A82" t="s">
        <v>163</v>
      </c>
      <c r="B82" t="s">
        <v>164</v>
      </c>
      <c r="C82" t="s">
        <v>18</v>
      </c>
      <c r="D82" t="s">
        <v>24</v>
      </c>
      <c r="E82" s="2">
        <v>15.67</v>
      </c>
      <c r="F82" s="2">
        <v>28.28</v>
      </c>
      <c r="G82" s="3">
        <v>323</v>
      </c>
      <c r="H82" s="3">
        <v>129</v>
      </c>
      <c r="I82" s="3">
        <v>194</v>
      </c>
      <c r="J82" s="3">
        <v>41</v>
      </c>
      <c r="K82" t="s">
        <v>20</v>
      </c>
      <c r="L82" s="2">
        <f t="shared" si="3"/>
        <v>12.610000000000001</v>
      </c>
      <c r="M82" s="2">
        <f t="shared" si="4"/>
        <v>3648.1200000000003</v>
      </c>
      <c r="N82" s="2">
        <f t="shared" si="5"/>
        <v>1626.69</v>
      </c>
    </row>
    <row r="83" spans="1:14">
      <c r="A83" t="s">
        <v>165</v>
      </c>
      <c r="B83" t="s">
        <v>151</v>
      </c>
      <c r="C83" t="s">
        <v>53</v>
      </c>
      <c r="D83" t="s">
        <v>77</v>
      </c>
      <c r="E83" s="2">
        <v>24.31</v>
      </c>
      <c r="F83" s="2">
        <v>41.12</v>
      </c>
      <c r="G83" s="3">
        <v>155</v>
      </c>
      <c r="H83" s="3">
        <v>59</v>
      </c>
      <c r="I83" s="3">
        <v>96</v>
      </c>
      <c r="J83" s="3">
        <v>21</v>
      </c>
      <c r="K83" t="s">
        <v>20</v>
      </c>
      <c r="L83" s="2">
        <f t="shared" si="3"/>
        <v>16.809999999999999</v>
      </c>
      <c r="M83" s="2">
        <f t="shared" si="4"/>
        <v>2426.08</v>
      </c>
      <c r="N83" s="2">
        <f t="shared" si="5"/>
        <v>991.79</v>
      </c>
    </row>
    <row r="84" spans="1:14">
      <c r="A84" t="s">
        <v>166</v>
      </c>
      <c r="B84" t="s">
        <v>167</v>
      </c>
      <c r="C84" t="s">
        <v>88</v>
      </c>
      <c r="D84" t="s">
        <v>39</v>
      </c>
      <c r="E84" s="2">
        <v>59</v>
      </c>
      <c r="F84" s="2">
        <v>105.65</v>
      </c>
      <c r="G84" s="3">
        <v>216</v>
      </c>
      <c r="H84" s="3">
        <v>82</v>
      </c>
      <c r="I84" s="3">
        <v>134</v>
      </c>
      <c r="J84" s="3">
        <v>25</v>
      </c>
      <c r="K84" t="s">
        <v>20</v>
      </c>
      <c r="L84" s="2">
        <f t="shared" si="3"/>
        <v>46.650000000000006</v>
      </c>
      <c r="M84" s="2">
        <f t="shared" si="4"/>
        <v>8663.3000000000011</v>
      </c>
      <c r="N84" s="2">
        <f t="shared" si="5"/>
        <v>3825.3000000000006</v>
      </c>
    </row>
    <row r="85" spans="1:14">
      <c r="A85" t="s">
        <v>168</v>
      </c>
      <c r="B85" t="s">
        <v>169</v>
      </c>
      <c r="C85" t="s">
        <v>53</v>
      </c>
      <c r="D85" t="s">
        <v>42</v>
      </c>
      <c r="E85" s="2">
        <v>26.39</v>
      </c>
      <c r="F85" s="2">
        <v>44.2</v>
      </c>
      <c r="G85" s="3">
        <v>57</v>
      </c>
      <c r="H85" s="3">
        <v>42</v>
      </c>
      <c r="I85" s="3">
        <v>15</v>
      </c>
      <c r="J85" s="3">
        <v>13</v>
      </c>
      <c r="K85" t="s">
        <v>20</v>
      </c>
      <c r="L85" s="2">
        <f t="shared" si="3"/>
        <v>17.810000000000002</v>
      </c>
      <c r="M85" s="2">
        <f t="shared" si="4"/>
        <v>1856.4</v>
      </c>
      <c r="N85" s="2">
        <f t="shared" si="5"/>
        <v>748.0200000000001</v>
      </c>
    </row>
    <row r="86" spans="1:14">
      <c r="A86" t="s">
        <v>170</v>
      </c>
      <c r="B86" t="s">
        <v>99</v>
      </c>
      <c r="C86" t="s">
        <v>33</v>
      </c>
      <c r="D86" t="s">
        <v>100</v>
      </c>
      <c r="E86" s="2">
        <v>11.99</v>
      </c>
      <c r="F86" s="2">
        <v>15.87</v>
      </c>
      <c r="G86" s="3">
        <v>349</v>
      </c>
      <c r="H86" s="3">
        <v>152</v>
      </c>
      <c r="I86" s="3">
        <v>197</v>
      </c>
      <c r="J86" s="3">
        <v>79</v>
      </c>
      <c r="K86" t="s">
        <v>20</v>
      </c>
      <c r="L86" s="2">
        <f t="shared" si="3"/>
        <v>3.879999999999999</v>
      </c>
      <c r="M86" s="2">
        <f t="shared" si="4"/>
        <v>2412.2399999999998</v>
      </c>
      <c r="N86" s="2">
        <f t="shared" si="5"/>
        <v>589.75999999999988</v>
      </c>
    </row>
    <row r="87" spans="1:14">
      <c r="A87" t="s">
        <v>171</v>
      </c>
      <c r="B87" t="s">
        <v>172</v>
      </c>
      <c r="C87" t="s">
        <v>18</v>
      </c>
      <c r="D87" t="s">
        <v>48</v>
      </c>
      <c r="E87" s="2">
        <v>10.36</v>
      </c>
      <c r="F87" s="2">
        <v>15.48</v>
      </c>
      <c r="G87" s="3">
        <v>193</v>
      </c>
      <c r="H87" s="3">
        <v>116</v>
      </c>
      <c r="I87" s="3">
        <v>77</v>
      </c>
      <c r="J87" s="3">
        <v>45</v>
      </c>
      <c r="K87" t="s">
        <v>20</v>
      </c>
      <c r="L87" s="2">
        <f t="shared" si="3"/>
        <v>5.120000000000001</v>
      </c>
      <c r="M87" s="2">
        <f t="shared" si="4"/>
        <v>1795.68</v>
      </c>
      <c r="N87" s="2">
        <f t="shared" si="5"/>
        <v>593.92000000000007</v>
      </c>
    </row>
    <row r="88" spans="1:14">
      <c r="A88" t="s">
        <v>173</v>
      </c>
      <c r="B88" t="s">
        <v>46</v>
      </c>
      <c r="C88" t="s">
        <v>47</v>
      </c>
      <c r="D88" t="s">
        <v>19</v>
      </c>
      <c r="E88" s="2">
        <v>3.94</v>
      </c>
      <c r="F88" s="2">
        <v>6.62</v>
      </c>
      <c r="G88" s="3">
        <v>227</v>
      </c>
      <c r="H88" s="3">
        <v>116</v>
      </c>
      <c r="I88" s="3">
        <v>111</v>
      </c>
      <c r="J88" s="3">
        <v>49</v>
      </c>
      <c r="K88" t="s">
        <v>20</v>
      </c>
      <c r="L88" s="2">
        <f t="shared" si="3"/>
        <v>2.68</v>
      </c>
      <c r="M88" s="2">
        <f t="shared" si="4"/>
        <v>767.92</v>
      </c>
      <c r="N88" s="2">
        <f t="shared" si="5"/>
        <v>310.88</v>
      </c>
    </row>
    <row r="89" spans="1:14">
      <c r="A89" t="s">
        <v>174</v>
      </c>
      <c r="B89" t="s">
        <v>175</v>
      </c>
      <c r="C89" t="s">
        <v>88</v>
      </c>
      <c r="D89" t="s">
        <v>19</v>
      </c>
      <c r="E89" s="2">
        <v>36.99</v>
      </c>
      <c r="F89" s="2">
        <v>72.16</v>
      </c>
      <c r="G89" s="3">
        <v>485</v>
      </c>
      <c r="H89" s="3">
        <v>412</v>
      </c>
      <c r="I89" s="3">
        <v>73</v>
      </c>
      <c r="J89" s="3">
        <v>67</v>
      </c>
      <c r="K89" t="s">
        <v>20</v>
      </c>
      <c r="L89" s="2">
        <f t="shared" si="3"/>
        <v>35.169999999999995</v>
      </c>
      <c r="M89" s="2">
        <f t="shared" si="4"/>
        <v>29729.919999999998</v>
      </c>
      <c r="N89" s="2">
        <f t="shared" si="5"/>
        <v>14490.039999999997</v>
      </c>
    </row>
    <row r="90" spans="1:14">
      <c r="A90" t="s">
        <v>176</v>
      </c>
      <c r="B90" t="s">
        <v>37</v>
      </c>
      <c r="C90" t="s">
        <v>23</v>
      </c>
      <c r="D90" t="s">
        <v>42</v>
      </c>
      <c r="E90" s="2">
        <v>4.2</v>
      </c>
      <c r="F90" s="2">
        <v>6.14</v>
      </c>
      <c r="G90" s="3">
        <v>201</v>
      </c>
      <c r="H90" s="3">
        <v>21</v>
      </c>
      <c r="I90" s="3">
        <v>180</v>
      </c>
      <c r="J90" s="3">
        <v>46</v>
      </c>
      <c r="K90" t="s">
        <v>20</v>
      </c>
      <c r="L90" s="2">
        <f t="shared" si="3"/>
        <v>1.9399999999999995</v>
      </c>
      <c r="M90" s="2">
        <f t="shared" si="4"/>
        <v>128.94</v>
      </c>
      <c r="N90" s="2">
        <f t="shared" si="5"/>
        <v>40.739999999999988</v>
      </c>
    </row>
    <row r="91" spans="1:14">
      <c r="A91" t="s">
        <v>177</v>
      </c>
      <c r="B91" t="s">
        <v>62</v>
      </c>
      <c r="C91" t="s">
        <v>13</v>
      </c>
      <c r="D91" t="s">
        <v>14</v>
      </c>
      <c r="E91" s="2">
        <v>12.24</v>
      </c>
      <c r="F91" s="2">
        <v>21.52</v>
      </c>
      <c r="G91" s="3">
        <v>42</v>
      </c>
      <c r="H91" s="3">
        <v>7</v>
      </c>
      <c r="I91" s="3">
        <v>35</v>
      </c>
      <c r="J91" s="3">
        <v>5</v>
      </c>
      <c r="K91" t="s">
        <v>20</v>
      </c>
      <c r="L91" s="2">
        <f t="shared" si="3"/>
        <v>9.2799999999999994</v>
      </c>
      <c r="M91" s="2">
        <f t="shared" si="4"/>
        <v>150.63999999999999</v>
      </c>
      <c r="N91" s="2">
        <f t="shared" si="5"/>
        <v>64.959999999999994</v>
      </c>
    </row>
    <row r="92" spans="1:14">
      <c r="A92" t="s">
        <v>178</v>
      </c>
      <c r="B92" t="s">
        <v>179</v>
      </c>
      <c r="C92" t="s">
        <v>53</v>
      </c>
      <c r="D92" t="s">
        <v>24</v>
      </c>
      <c r="E92" s="2">
        <v>34.409999999999997</v>
      </c>
      <c r="F92" s="2">
        <v>46.82</v>
      </c>
      <c r="G92" s="3">
        <v>59</v>
      </c>
      <c r="H92" s="3">
        <v>38</v>
      </c>
      <c r="I92" s="3">
        <v>21</v>
      </c>
      <c r="J92" s="3">
        <v>8</v>
      </c>
      <c r="K92" t="s">
        <v>20</v>
      </c>
      <c r="L92" s="2">
        <f t="shared" si="3"/>
        <v>12.410000000000004</v>
      </c>
      <c r="M92" s="2">
        <f t="shared" si="4"/>
        <v>1779.16</v>
      </c>
      <c r="N92" s="2">
        <f t="shared" si="5"/>
        <v>471.58000000000015</v>
      </c>
    </row>
    <row r="93" spans="1:14">
      <c r="A93" t="s">
        <v>180</v>
      </c>
      <c r="B93" t="s">
        <v>26</v>
      </c>
      <c r="C93" t="s">
        <v>27</v>
      </c>
      <c r="D93" t="s">
        <v>24</v>
      </c>
      <c r="E93" s="2">
        <v>23.75</v>
      </c>
      <c r="F93" s="2">
        <v>33.69</v>
      </c>
      <c r="G93" s="3">
        <v>61</v>
      </c>
      <c r="H93" s="3">
        <v>48</v>
      </c>
      <c r="I93" s="3">
        <v>13</v>
      </c>
      <c r="J93" s="3">
        <v>12</v>
      </c>
      <c r="K93" t="s">
        <v>20</v>
      </c>
      <c r="L93" s="2">
        <f t="shared" si="3"/>
        <v>9.9399999999999977</v>
      </c>
      <c r="M93" s="2">
        <f t="shared" si="4"/>
        <v>1617.12</v>
      </c>
      <c r="N93" s="2">
        <f t="shared" si="5"/>
        <v>477.11999999999989</v>
      </c>
    </row>
    <row r="94" spans="1:14">
      <c r="A94" t="s">
        <v>181</v>
      </c>
      <c r="B94" t="s">
        <v>66</v>
      </c>
      <c r="C94" t="s">
        <v>18</v>
      </c>
      <c r="D94" t="s">
        <v>100</v>
      </c>
      <c r="E94" s="2">
        <v>5.53</v>
      </c>
      <c r="F94" s="2">
        <v>9.7200000000000006</v>
      </c>
      <c r="G94" s="3">
        <v>499</v>
      </c>
      <c r="H94" s="3">
        <v>133</v>
      </c>
      <c r="I94" s="3">
        <v>366</v>
      </c>
      <c r="J94" s="3">
        <v>102</v>
      </c>
      <c r="K94" t="s">
        <v>20</v>
      </c>
      <c r="L94" s="2">
        <f t="shared" si="3"/>
        <v>4.1900000000000004</v>
      </c>
      <c r="M94" s="2">
        <f t="shared" si="4"/>
        <v>1292.76</v>
      </c>
      <c r="N94" s="2">
        <f t="shared" si="5"/>
        <v>557.2700000000001</v>
      </c>
    </row>
    <row r="95" spans="1:14">
      <c r="A95" t="s">
        <v>182</v>
      </c>
      <c r="B95" t="s">
        <v>183</v>
      </c>
      <c r="C95" t="s">
        <v>53</v>
      </c>
      <c r="D95" t="s">
        <v>77</v>
      </c>
      <c r="E95" s="2">
        <v>13.56</v>
      </c>
      <c r="F95" s="2">
        <v>23.12</v>
      </c>
      <c r="G95" s="3">
        <v>25</v>
      </c>
      <c r="H95" s="3">
        <v>17</v>
      </c>
      <c r="I95" s="3">
        <v>8</v>
      </c>
      <c r="J95" s="3">
        <v>3</v>
      </c>
      <c r="K95" t="s">
        <v>20</v>
      </c>
      <c r="L95" s="2">
        <f t="shared" si="3"/>
        <v>9.56</v>
      </c>
      <c r="M95" s="2">
        <f t="shared" si="4"/>
        <v>393.04</v>
      </c>
      <c r="N95" s="2">
        <f t="shared" si="5"/>
        <v>162.52000000000001</v>
      </c>
    </row>
    <row r="96" spans="1:14">
      <c r="A96" t="s">
        <v>184</v>
      </c>
      <c r="B96" t="s">
        <v>66</v>
      </c>
      <c r="C96" t="s">
        <v>18</v>
      </c>
      <c r="D96" t="s">
        <v>48</v>
      </c>
      <c r="E96" s="2">
        <v>2.73</v>
      </c>
      <c r="F96" s="2">
        <v>5.71</v>
      </c>
      <c r="G96" s="3">
        <v>276</v>
      </c>
      <c r="H96" s="3">
        <v>101</v>
      </c>
      <c r="I96" s="3">
        <v>175</v>
      </c>
      <c r="J96" s="3">
        <v>36</v>
      </c>
      <c r="K96" t="s">
        <v>20</v>
      </c>
      <c r="L96" s="2">
        <f t="shared" si="3"/>
        <v>2.98</v>
      </c>
      <c r="M96" s="2">
        <f t="shared" si="4"/>
        <v>576.71</v>
      </c>
      <c r="N96" s="2">
        <f t="shared" si="5"/>
        <v>300.98</v>
      </c>
    </row>
    <row r="97" spans="1:14">
      <c r="A97" t="s">
        <v>185</v>
      </c>
      <c r="B97" t="s">
        <v>186</v>
      </c>
      <c r="C97" t="s">
        <v>13</v>
      </c>
      <c r="D97" t="s">
        <v>19</v>
      </c>
      <c r="E97" s="2">
        <v>18.5</v>
      </c>
      <c r="F97" s="2">
        <v>39.69</v>
      </c>
      <c r="G97" s="3">
        <v>130</v>
      </c>
      <c r="H97" s="3">
        <v>39</v>
      </c>
      <c r="I97" s="3">
        <v>91</v>
      </c>
      <c r="J97" s="3">
        <v>31</v>
      </c>
      <c r="K97" t="s">
        <v>20</v>
      </c>
      <c r="L97" s="2">
        <f t="shared" si="3"/>
        <v>21.189999999999998</v>
      </c>
      <c r="M97" s="2">
        <f t="shared" si="4"/>
        <v>1547.9099999999999</v>
      </c>
      <c r="N97" s="2">
        <f t="shared" si="5"/>
        <v>826.40999999999985</v>
      </c>
    </row>
    <row r="98" spans="1:14">
      <c r="A98" t="s">
        <v>187</v>
      </c>
      <c r="B98" t="s">
        <v>151</v>
      </c>
      <c r="C98" t="s">
        <v>53</v>
      </c>
      <c r="D98" t="s">
        <v>54</v>
      </c>
      <c r="E98" s="2">
        <v>4.47</v>
      </c>
      <c r="F98" s="2">
        <v>9.16</v>
      </c>
      <c r="G98" s="3">
        <v>73</v>
      </c>
      <c r="H98" s="3">
        <v>32</v>
      </c>
      <c r="I98" s="3">
        <v>41</v>
      </c>
      <c r="J98" s="3">
        <v>14</v>
      </c>
      <c r="K98" t="s">
        <v>20</v>
      </c>
      <c r="L98" s="2">
        <f t="shared" si="3"/>
        <v>4.6900000000000004</v>
      </c>
      <c r="M98" s="2">
        <f t="shared" si="4"/>
        <v>293.12</v>
      </c>
      <c r="N98" s="2">
        <f t="shared" si="5"/>
        <v>150.08000000000001</v>
      </c>
    </row>
    <row r="99" spans="1:14">
      <c r="A99" t="s">
        <v>188</v>
      </c>
      <c r="B99" t="s">
        <v>92</v>
      </c>
      <c r="C99" t="s">
        <v>27</v>
      </c>
      <c r="D99" t="s">
        <v>24</v>
      </c>
      <c r="E99" s="2">
        <v>13.4</v>
      </c>
      <c r="F99" s="2">
        <v>17.420000000000002</v>
      </c>
      <c r="G99" s="3">
        <v>353</v>
      </c>
      <c r="H99" s="3">
        <v>158</v>
      </c>
      <c r="I99" s="3">
        <v>195</v>
      </c>
      <c r="J99" s="3">
        <v>60</v>
      </c>
      <c r="K99" t="s">
        <v>20</v>
      </c>
      <c r="L99" s="2">
        <f t="shared" si="3"/>
        <v>4.0200000000000014</v>
      </c>
      <c r="M99" s="2">
        <f t="shared" si="4"/>
        <v>2752.36</v>
      </c>
      <c r="N99" s="2">
        <f t="shared" si="5"/>
        <v>635.1600000000002</v>
      </c>
    </row>
    <row r="100" spans="1:14">
      <c r="A100" t="s">
        <v>189</v>
      </c>
      <c r="B100" t="s">
        <v>190</v>
      </c>
      <c r="C100" t="s">
        <v>18</v>
      </c>
      <c r="D100" t="s">
        <v>24</v>
      </c>
      <c r="E100" s="2">
        <v>7.45</v>
      </c>
      <c r="F100" s="2">
        <v>13.67</v>
      </c>
      <c r="G100" s="3">
        <v>130</v>
      </c>
      <c r="H100" s="3">
        <v>56</v>
      </c>
      <c r="I100" s="3">
        <v>74</v>
      </c>
      <c r="J100" s="3">
        <v>14</v>
      </c>
      <c r="K100" t="s">
        <v>20</v>
      </c>
      <c r="L100" s="2">
        <f t="shared" si="3"/>
        <v>6.22</v>
      </c>
      <c r="M100" s="2">
        <f t="shared" si="4"/>
        <v>765.52</v>
      </c>
      <c r="N100" s="2">
        <f t="shared" si="5"/>
        <v>348.32</v>
      </c>
    </row>
    <row r="101" spans="1:14">
      <c r="A101" t="s">
        <v>191</v>
      </c>
      <c r="B101" t="s">
        <v>114</v>
      </c>
      <c r="C101" t="s">
        <v>53</v>
      </c>
      <c r="D101" t="s">
        <v>19</v>
      </c>
      <c r="E101" s="2">
        <v>30.91</v>
      </c>
      <c r="F101" s="2">
        <v>47.77</v>
      </c>
      <c r="G101" s="3">
        <v>486</v>
      </c>
      <c r="H101" s="3">
        <v>351</v>
      </c>
      <c r="I101" s="3">
        <v>135</v>
      </c>
      <c r="J101" s="3">
        <v>74</v>
      </c>
      <c r="K101" t="s">
        <v>20</v>
      </c>
      <c r="L101" s="2">
        <f t="shared" si="3"/>
        <v>16.860000000000003</v>
      </c>
      <c r="M101" s="2">
        <f t="shared" si="4"/>
        <v>16767.27</v>
      </c>
      <c r="N101" s="2">
        <f t="shared" si="5"/>
        <v>5917.8600000000015</v>
      </c>
    </row>
    <row r="102" spans="1:14">
      <c r="A102" t="s">
        <v>192</v>
      </c>
      <c r="B102" t="s">
        <v>99</v>
      </c>
      <c r="C102" t="s">
        <v>33</v>
      </c>
      <c r="D102" t="s">
        <v>54</v>
      </c>
      <c r="E102" s="2">
        <v>9.8800000000000008</v>
      </c>
      <c r="F102" s="2">
        <v>15.47</v>
      </c>
      <c r="G102" s="3">
        <v>277</v>
      </c>
      <c r="H102" s="3">
        <v>154</v>
      </c>
      <c r="I102" s="3">
        <v>123</v>
      </c>
      <c r="J102" s="3">
        <v>60</v>
      </c>
      <c r="K102" t="s">
        <v>20</v>
      </c>
      <c r="L102" s="2">
        <f t="shared" si="3"/>
        <v>5.59</v>
      </c>
      <c r="M102" s="2">
        <f t="shared" si="4"/>
        <v>2382.38</v>
      </c>
      <c r="N102" s="2">
        <f t="shared" si="5"/>
        <v>860.86</v>
      </c>
    </row>
    <row r="103" spans="1:14">
      <c r="A103" t="s">
        <v>193</v>
      </c>
      <c r="B103" t="s">
        <v>52</v>
      </c>
      <c r="C103" t="s">
        <v>53</v>
      </c>
      <c r="D103" t="s">
        <v>24</v>
      </c>
      <c r="E103" s="2">
        <v>11.55</v>
      </c>
      <c r="F103" s="2">
        <v>24.87</v>
      </c>
      <c r="G103" s="3">
        <v>163</v>
      </c>
      <c r="H103" s="3">
        <v>148</v>
      </c>
      <c r="I103" s="3">
        <v>15</v>
      </c>
      <c r="J103" s="3">
        <v>31</v>
      </c>
      <c r="K103" t="s">
        <v>15</v>
      </c>
      <c r="L103" s="2">
        <f t="shared" si="3"/>
        <v>13.32</v>
      </c>
      <c r="M103" s="2">
        <f t="shared" si="4"/>
        <v>3680.76</v>
      </c>
      <c r="N103" s="2">
        <f t="shared" si="5"/>
        <v>1971.3600000000001</v>
      </c>
    </row>
    <row r="104" spans="1:14">
      <c r="A104" t="s">
        <v>194</v>
      </c>
      <c r="B104" t="s">
        <v>17</v>
      </c>
      <c r="C104" t="s">
        <v>18</v>
      </c>
      <c r="D104" t="s">
        <v>39</v>
      </c>
      <c r="E104" s="2">
        <v>3.66</v>
      </c>
      <c r="F104" s="2">
        <v>5.64</v>
      </c>
      <c r="G104" s="3">
        <v>440</v>
      </c>
      <c r="H104" s="3">
        <v>143</v>
      </c>
      <c r="I104" s="3">
        <v>297</v>
      </c>
      <c r="J104" s="3">
        <v>64</v>
      </c>
      <c r="K104" t="s">
        <v>20</v>
      </c>
      <c r="L104" s="2">
        <f t="shared" si="3"/>
        <v>1.9799999999999995</v>
      </c>
      <c r="M104" s="2">
        <f t="shared" si="4"/>
        <v>806.52</v>
      </c>
      <c r="N104" s="2">
        <f t="shared" si="5"/>
        <v>283.13999999999993</v>
      </c>
    </row>
    <row r="105" spans="1:14">
      <c r="A105" t="s">
        <v>195</v>
      </c>
      <c r="B105" t="s">
        <v>90</v>
      </c>
      <c r="C105" t="s">
        <v>88</v>
      </c>
      <c r="D105" t="s">
        <v>100</v>
      </c>
      <c r="E105" s="2">
        <v>35.15</v>
      </c>
      <c r="F105" s="2">
        <v>48.36</v>
      </c>
      <c r="G105" s="3">
        <v>331</v>
      </c>
      <c r="H105" s="3">
        <v>276</v>
      </c>
      <c r="I105" s="3">
        <v>55</v>
      </c>
      <c r="J105" s="3">
        <v>63</v>
      </c>
      <c r="K105" t="s">
        <v>15</v>
      </c>
      <c r="L105" s="2">
        <f t="shared" si="3"/>
        <v>13.21</v>
      </c>
      <c r="M105" s="2">
        <f t="shared" si="4"/>
        <v>13347.36</v>
      </c>
      <c r="N105" s="2">
        <f t="shared" si="5"/>
        <v>3645.96</v>
      </c>
    </row>
    <row r="106" spans="1:14">
      <c r="A106" t="s">
        <v>196</v>
      </c>
      <c r="B106" t="s">
        <v>106</v>
      </c>
      <c r="C106" t="s">
        <v>33</v>
      </c>
      <c r="D106" t="s">
        <v>19</v>
      </c>
      <c r="E106" s="2">
        <v>7.58</v>
      </c>
      <c r="F106" s="2">
        <v>12.38</v>
      </c>
      <c r="G106" s="3">
        <v>195</v>
      </c>
      <c r="H106" s="3">
        <v>178</v>
      </c>
      <c r="I106" s="3">
        <v>17</v>
      </c>
      <c r="J106" s="3">
        <v>28</v>
      </c>
      <c r="K106" t="s">
        <v>15</v>
      </c>
      <c r="L106" s="2">
        <f t="shared" si="3"/>
        <v>4.8000000000000007</v>
      </c>
      <c r="M106" s="2">
        <f t="shared" si="4"/>
        <v>2203.6400000000003</v>
      </c>
      <c r="N106" s="2">
        <f t="shared" si="5"/>
        <v>854.40000000000009</v>
      </c>
    </row>
    <row r="107" spans="1:14">
      <c r="A107" t="s">
        <v>197</v>
      </c>
      <c r="B107" t="s">
        <v>44</v>
      </c>
      <c r="C107" t="s">
        <v>13</v>
      </c>
      <c r="D107" t="s">
        <v>54</v>
      </c>
      <c r="E107" s="2">
        <v>2.21</v>
      </c>
      <c r="F107" s="2">
        <v>4.6900000000000004</v>
      </c>
      <c r="G107" s="3">
        <v>400</v>
      </c>
      <c r="H107" s="3">
        <v>88</v>
      </c>
      <c r="I107" s="3">
        <v>312</v>
      </c>
      <c r="J107" s="3">
        <v>67</v>
      </c>
      <c r="K107" t="s">
        <v>20</v>
      </c>
      <c r="L107" s="2">
        <f t="shared" si="3"/>
        <v>2.4800000000000004</v>
      </c>
      <c r="M107" s="2">
        <f t="shared" si="4"/>
        <v>412.72</v>
      </c>
      <c r="N107" s="2">
        <f t="shared" si="5"/>
        <v>218.24000000000004</v>
      </c>
    </row>
    <row r="108" spans="1:14">
      <c r="A108" t="s">
        <v>198</v>
      </c>
      <c r="B108" t="s">
        <v>190</v>
      </c>
      <c r="C108" t="s">
        <v>18</v>
      </c>
      <c r="D108" t="s">
        <v>100</v>
      </c>
      <c r="E108" s="2">
        <v>11.37</v>
      </c>
      <c r="F108" s="2">
        <v>17.739999999999998</v>
      </c>
      <c r="G108" s="3">
        <v>234</v>
      </c>
      <c r="H108" s="3">
        <v>177</v>
      </c>
      <c r="I108" s="3">
        <v>57</v>
      </c>
      <c r="J108" s="3">
        <v>27</v>
      </c>
      <c r="K108" t="s">
        <v>20</v>
      </c>
      <c r="L108" s="2">
        <f t="shared" si="3"/>
        <v>6.3699999999999992</v>
      </c>
      <c r="M108" s="2">
        <f t="shared" si="4"/>
        <v>3139.9799999999996</v>
      </c>
      <c r="N108" s="2">
        <f t="shared" si="5"/>
        <v>1127.4899999999998</v>
      </c>
    </row>
    <row r="109" spans="1:14">
      <c r="A109" t="s">
        <v>199</v>
      </c>
      <c r="B109" t="s">
        <v>131</v>
      </c>
      <c r="C109" t="s">
        <v>88</v>
      </c>
      <c r="D109" t="s">
        <v>54</v>
      </c>
      <c r="E109" s="2">
        <v>4.1100000000000003</v>
      </c>
      <c r="F109" s="2">
        <v>5.92</v>
      </c>
      <c r="G109" s="3">
        <v>194</v>
      </c>
      <c r="H109" s="3">
        <v>42</v>
      </c>
      <c r="I109" s="3">
        <v>152</v>
      </c>
      <c r="J109" s="3">
        <v>41</v>
      </c>
      <c r="K109" t="s">
        <v>20</v>
      </c>
      <c r="L109" s="2">
        <f t="shared" si="3"/>
        <v>1.8099999999999996</v>
      </c>
      <c r="M109" s="2">
        <f t="shared" si="4"/>
        <v>248.64</v>
      </c>
      <c r="N109" s="2">
        <f t="shared" si="5"/>
        <v>76.019999999999982</v>
      </c>
    </row>
    <row r="110" spans="1:14">
      <c r="A110" t="s">
        <v>200</v>
      </c>
      <c r="B110" t="s">
        <v>156</v>
      </c>
      <c r="C110" t="s">
        <v>47</v>
      </c>
      <c r="D110" t="s">
        <v>14</v>
      </c>
      <c r="E110" s="2">
        <v>0.67</v>
      </c>
      <c r="F110" s="2">
        <v>1.39</v>
      </c>
      <c r="G110" s="3">
        <v>478</v>
      </c>
      <c r="H110" s="3">
        <v>237</v>
      </c>
      <c r="I110" s="3">
        <v>241</v>
      </c>
      <c r="J110" s="3">
        <v>60</v>
      </c>
      <c r="K110" t="s">
        <v>20</v>
      </c>
      <c r="L110" s="2">
        <f t="shared" si="3"/>
        <v>0.71999999999999986</v>
      </c>
      <c r="M110" s="2">
        <f t="shared" si="4"/>
        <v>329.42999999999995</v>
      </c>
      <c r="N110" s="2">
        <f t="shared" si="5"/>
        <v>170.63999999999996</v>
      </c>
    </row>
    <row r="111" spans="1:14">
      <c r="A111" t="s">
        <v>201</v>
      </c>
      <c r="B111" t="s">
        <v>202</v>
      </c>
      <c r="C111" t="s">
        <v>13</v>
      </c>
      <c r="D111" t="s">
        <v>42</v>
      </c>
      <c r="E111" s="2">
        <v>12.78</v>
      </c>
      <c r="F111" s="2">
        <v>20.52</v>
      </c>
      <c r="G111" s="3">
        <v>457</v>
      </c>
      <c r="H111" s="3">
        <v>322</v>
      </c>
      <c r="I111" s="3">
        <v>135</v>
      </c>
      <c r="J111" s="3">
        <v>113</v>
      </c>
      <c r="K111" t="s">
        <v>20</v>
      </c>
      <c r="L111" s="2">
        <f t="shared" si="3"/>
        <v>7.74</v>
      </c>
      <c r="M111" s="2">
        <f t="shared" si="4"/>
        <v>6607.44</v>
      </c>
      <c r="N111" s="2">
        <f t="shared" si="5"/>
        <v>2492.2800000000002</v>
      </c>
    </row>
    <row r="112" spans="1:14">
      <c r="A112" t="s">
        <v>203</v>
      </c>
      <c r="B112" t="s">
        <v>124</v>
      </c>
      <c r="C112" t="s">
        <v>88</v>
      </c>
      <c r="D112" t="s">
        <v>42</v>
      </c>
      <c r="E112" s="2">
        <v>22.37</v>
      </c>
      <c r="F112" s="2">
        <v>36.57</v>
      </c>
      <c r="G112" s="3">
        <v>105</v>
      </c>
      <c r="H112" s="3">
        <v>27</v>
      </c>
      <c r="I112" s="3">
        <v>78</v>
      </c>
      <c r="J112" s="3">
        <v>21</v>
      </c>
      <c r="K112" t="s">
        <v>20</v>
      </c>
      <c r="L112" s="2">
        <f t="shared" si="3"/>
        <v>14.2</v>
      </c>
      <c r="M112" s="2">
        <f t="shared" si="4"/>
        <v>987.39</v>
      </c>
      <c r="N112" s="2">
        <f t="shared" si="5"/>
        <v>383.4</v>
      </c>
    </row>
    <row r="113" spans="1:14">
      <c r="A113" t="s">
        <v>204</v>
      </c>
      <c r="B113" t="s">
        <v>179</v>
      </c>
      <c r="C113" t="s">
        <v>53</v>
      </c>
      <c r="D113" t="s">
        <v>54</v>
      </c>
      <c r="E113" s="2">
        <v>21.84</v>
      </c>
      <c r="F113" s="2">
        <v>30.35</v>
      </c>
      <c r="G113" s="3">
        <v>490</v>
      </c>
      <c r="H113" s="3">
        <v>58</v>
      </c>
      <c r="I113" s="3">
        <v>432</v>
      </c>
      <c r="J113" s="3">
        <v>65</v>
      </c>
      <c r="K113" t="s">
        <v>20</v>
      </c>
      <c r="L113" s="2">
        <f t="shared" si="3"/>
        <v>8.5100000000000016</v>
      </c>
      <c r="M113" s="2">
        <f t="shared" si="4"/>
        <v>1760.3000000000002</v>
      </c>
      <c r="N113" s="2">
        <f t="shared" si="5"/>
        <v>493.5800000000001</v>
      </c>
    </row>
    <row r="114" spans="1:14">
      <c r="A114" t="s">
        <v>205</v>
      </c>
      <c r="B114" t="s">
        <v>106</v>
      </c>
      <c r="C114" t="s">
        <v>33</v>
      </c>
      <c r="D114" t="s">
        <v>48</v>
      </c>
      <c r="E114" s="2">
        <v>4.4400000000000004</v>
      </c>
      <c r="F114" s="2">
        <v>9.33</v>
      </c>
      <c r="G114" s="3">
        <v>463</v>
      </c>
      <c r="H114" s="3">
        <v>177</v>
      </c>
      <c r="I114" s="3">
        <v>286</v>
      </c>
      <c r="J114" s="3">
        <v>60</v>
      </c>
      <c r="K114" t="s">
        <v>20</v>
      </c>
      <c r="L114" s="2">
        <f t="shared" si="3"/>
        <v>4.8899999999999997</v>
      </c>
      <c r="M114" s="2">
        <f t="shared" si="4"/>
        <v>1651.41</v>
      </c>
      <c r="N114" s="2">
        <f t="shared" si="5"/>
        <v>865.53</v>
      </c>
    </row>
    <row r="115" spans="1:14">
      <c r="A115" t="s">
        <v>206</v>
      </c>
      <c r="B115" t="s">
        <v>207</v>
      </c>
      <c r="C115" t="s">
        <v>88</v>
      </c>
      <c r="D115" t="s">
        <v>28</v>
      </c>
      <c r="E115" s="2">
        <v>11.71</v>
      </c>
      <c r="F115" s="2">
        <v>20.52</v>
      </c>
      <c r="G115" s="3">
        <v>94</v>
      </c>
      <c r="H115" s="3">
        <v>37</v>
      </c>
      <c r="I115" s="3">
        <v>57</v>
      </c>
      <c r="J115" s="3">
        <v>17</v>
      </c>
      <c r="K115" t="s">
        <v>20</v>
      </c>
      <c r="L115" s="2">
        <f t="shared" si="3"/>
        <v>8.8099999999999987</v>
      </c>
      <c r="M115" s="2">
        <f t="shared" si="4"/>
        <v>759.24</v>
      </c>
      <c r="N115" s="2">
        <f t="shared" si="5"/>
        <v>325.96999999999997</v>
      </c>
    </row>
    <row r="116" spans="1:14">
      <c r="A116" t="s">
        <v>208</v>
      </c>
      <c r="B116" t="s">
        <v>104</v>
      </c>
      <c r="C116" t="s">
        <v>33</v>
      </c>
      <c r="D116" t="s">
        <v>24</v>
      </c>
      <c r="E116" s="2">
        <v>7.52</v>
      </c>
      <c r="F116" s="2">
        <v>13.57</v>
      </c>
      <c r="G116" s="3">
        <v>296</v>
      </c>
      <c r="H116" s="3">
        <v>99</v>
      </c>
      <c r="I116" s="3">
        <v>197</v>
      </c>
      <c r="J116" s="3">
        <v>33</v>
      </c>
      <c r="K116" t="s">
        <v>20</v>
      </c>
      <c r="L116" s="2">
        <f t="shared" si="3"/>
        <v>6.0500000000000007</v>
      </c>
      <c r="M116" s="2">
        <f t="shared" si="4"/>
        <v>1343.43</v>
      </c>
      <c r="N116" s="2">
        <f t="shared" si="5"/>
        <v>598.95000000000005</v>
      </c>
    </row>
    <row r="117" spans="1:14">
      <c r="A117" t="s">
        <v>209</v>
      </c>
      <c r="B117" t="s">
        <v>64</v>
      </c>
      <c r="C117" t="s">
        <v>18</v>
      </c>
      <c r="D117" t="s">
        <v>54</v>
      </c>
      <c r="E117" s="2">
        <v>4.0199999999999996</v>
      </c>
      <c r="F117" s="2">
        <v>6.5</v>
      </c>
      <c r="G117" s="3">
        <v>83</v>
      </c>
      <c r="H117" s="3">
        <v>73</v>
      </c>
      <c r="I117" s="3">
        <v>10</v>
      </c>
      <c r="J117" s="3">
        <v>19</v>
      </c>
      <c r="K117" t="s">
        <v>15</v>
      </c>
      <c r="L117" s="2">
        <f t="shared" si="3"/>
        <v>2.4800000000000004</v>
      </c>
      <c r="M117" s="2">
        <f t="shared" si="4"/>
        <v>474.5</v>
      </c>
      <c r="N117" s="2">
        <f t="shared" si="5"/>
        <v>181.04000000000002</v>
      </c>
    </row>
    <row r="118" spans="1:14">
      <c r="A118" t="s">
        <v>210</v>
      </c>
      <c r="B118" t="s">
        <v>151</v>
      </c>
      <c r="C118" t="s">
        <v>53</v>
      </c>
      <c r="D118" t="s">
        <v>100</v>
      </c>
      <c r="E118" s="2">
        <v>16.59</v>
      </c>
      <c r="F118" s="2">
        <v>35.35</v>
      </c>
      <c r="G118" s="3">
        <v>97</v>
      </c>
      <c r="H118" s="3">
        <v>32</v>
      </c>
      <c r="I118" s="3">
        <v>65</v>
      </c>
      <c r="J118" s="3">
        <v>12</v>
      </c>
      <c r="K118" t="s">
        <v>20</v>
      </c>
      <c r="L118" s="2">
        <f t="shared" si="3"/>
        <v>18.760000000000002</v>
      </c>
      <c r="M118" s="2">
        <f t="shared" si="4"/>
        <v>1131.2</v>
      </c>
      <c r="N118" s="2">
        <f t="shared" si="5"/>
        <v>600.32000000000005</v>
      </c>
    </row>
    <row r="119" spans="1:14">
      <c r="A119" t="s">
        <v>211</v>
      </c>
      <c r="B119" t="s">
        <v>102</v>
      </c>
      <c r="C119" t="s">
        <v>53</v>
      </c>
      <c r="D119" t="s">
        <v>14</v>
      </c>
      <c r="E119" s="2">
        <v>6.17</v>
      </c>
      <c r="F119" s="2">
        <v>10.82</v>
      </c>
      <c r="G119" s="3">
        <v>397</v>
      </c>
      <c r="H119" s="3">
        <v>279</v>
      </c>
      <c r="I119" s="3">
        <v>118</v>
      </c>
      <c r="J119" s="3">
        <v>44</v>
      </c>
      <c r="K119" t="s">
        <v>20</v>
      </c>
      <c r="L119" s="2">
        <f t="shared" si="3"/>
        <v>4.6500000000000004</v>
      </c>
      <c r="M119" s="2">
        <f t="shared" si="4"/>
        <v>3018.78</v>
      </c>
      <c r="N119" s="2">
        <f t="shared" si="5"/>
        <v>1297.3500000000001</v>
      </c>
    </row>
    <row r="120" spans="1:14">
      <c r="A120" t="s">
        <v>212</v>
      </c>
      <c r="B120" t="s">
        <v>169</v>
      </c>
      <c r="C120" t="s">
        <v>53</v>
      </c>
      <c r="D120" t="s">
        <v>14</v>
      </c>
      <c r="E120" s="2">
        <v>20.88</v>
      </c>
      <c r="F120" s="2">
        <v>31.41</v>
      </c>
      <c r="G120" s="3">
        <v>216</v>
      </c>
      <c r="H120" s="3">
        <v>60</v>
      </c>
      <c r="I120" s="3">
        <v>156</v>
      </c>
      <c r="J120" s="3">
        <v>29</v>
      </c>
      <c r="K120" t="s">
        <v>20</v>
      </c>
      <c r="L120" s="2">
        <f t="shared" si="3"/>
        <v>10.530000000000001</v>
      </c>
      <c r="M120" s="2">
        <f t="shared" si="4"/>
        <v>1884.6</v>
      </c>
      <c r="N120" s="2">
        <f t="shared" si="5"/>
        <v>631.80000000000007</v>
      </c>
    </row>
    <row r="121" spans="1:14">
      <c r="A121" t="s">
        <v>213</v>
      </c>
      <c r="B121" t="s">
        <v>172</v>
      </c>
      <c r="C121" t="s">
        <v>18</v>
      </c>
      <c r="D121" t="s">
        <v>28</v>
      </c>
      <c r="E121" s="2">
        <v>19.29</v>
      </c>
      <c r="F121" s="2">
        <v>28.17</v>
      </c>
      <c r="G121" s="3">
        <v>126</v>
      </c>
      <c r="H121" s="3">
        <v>36</v>
      </c>
      <c r="I121" s="3">
        <v>90</v>
      </c>
      <c r="J121" s="3">
        <v>30</v>
      </c>
      <c r="K121" t="s">
        <v>20</v>
      </c>
      <c r="L121" s="2">
        <f t="shared" si="3"/>
        <v>8.8800000000000026</v>
      </c>
      <c r="M121" s="2">
        <f t="shared" si="4"/>
        <v>1014.1200000000001</v>
      </c>
      <c r="N121" s="2">
        <f t="shared" si="5"/>
        <v>319.68000000000006</v>
      </c>
    </row>
    <row r="122" spans="1:14">
      <c r="A122" t="s">
        <v>214</v>
      </c>
      <c r="B122" t="s">
        <v>144</v>
      </c>
      <c r="C122" t="s">
        <v>88</v>
      </c>
      <c r="D122" t="s">
        <v>39</v>
      </c>
      <c r="E122" s="2">
        <v>67.599999999999994</v>
      </c>
      <c r="F122" s="2">
        <v>133.03</v>
      </c>
      <c r="G122" s="3">
        <v>412</v>
      </c>
      <c r="H122" s="3">
        <v>199</v>
      </c>
      <c r="I122" s="3">
        <v>213</v>
      </c>
      <c r="J122" s="3">
        <v>85</v>
      </c>
      <c r="K122" t="s">
        <v>20</v>
      </c>
      <c r="L122" s="2">
        <f t="shared" si="3"/>
        <v>65.430000000000007</v>
      </c>
      <c r="M122" s="2">
        <f t="shared" si="4"/>
        <v>26472.97</v>
      </c>
      <c r="N122" s="2">
        <f t="shared" si="5"/>
        <v>13020.570000000002</v>
      </c>
    </row>
    <row r="123" spans="1:14">
      <c r="A123" t="s">
        <v>215</v>
      </c>
      <c r="B123" t="s">
        <v>216</v>
      </c>
      <c r="C123" t="s">
        <v>23</v>
      </c>
      <c r="D123" t="s">
        <v>77</v>
      </c>
      <c r="E123" s="2">
        <v>7.58</v>
      </c>
      <c r="F123" s="2">
        <v>11.72</v>
      </c>
      <c r="G123" s="3">
        <v>423</v>
      </c>
      <c r="H123" s="3">
        <v>177</v>
      </c>
      <c r="I123" s="3">
        <v>246</v>
      </c>
      <c r="J123" s="3">
        <v>80</v>
      </c>
      <c r="K123" t="s">
        <v>20</v>
      </c>
      <c r="L123" s="2">
        <f t="shared" si="3"/>
        <v>4.1400000000000006</v>
      </c>
      <c r="M123" s="2">
        <f t="shared" si="4"/>
        <v>2074.44</v>
      </c>
      <c r="N123" s="2">
        <f t="shared" si="5"/>
        <v>732.78000000000009</v>
      </c>
    </row>
    <row r="124" spans="1:14">
      <c r="A124" t="s">
        <v>217</v>
      </c>
      <c r="B124" t="s">
        <v>72</v>
      </c>
      <c r="C124" t="s">
        <v>27</v>
      </c>
      <c r="D124" t="s">
        <v>77</v>
      </c>
      <c r="E124" s="2">
        <v>18.64</v>
      </c>
      <c r="F124" s="2">
        <v>25.42</v>
      </c>
      <c r="G124" s="3">
        <v>362</v>
      </c>
      <c r="H124" s="3">
        <v>232</v>
      </c>
      <c r="I124" s="3">
        <v>130</v>
      </c>
      <c r="J124" s="3">
        <v>37</v>
      </c>
      <c r="K124" t="s">
        <v>20</v>
      </c>
      <c r="L124" s="2">
        <f t="shared" si="3"/>
        <v>6.7800000000000011</v>
      </c>
      <c r="M124" s="2">
        <f t="shared" si="4"/>
        <v>5897.4400000000005</v>
      </c>
      <c r="N124" s="2">
        <f t="shared" si="5"/>
        <v>1572.9600000000003</v>
      </c>
    </row>
    <row r="125" spans="1:14">
      <c r="A125" t="s">
        <v>218</v>
      </c>
      <c r="B125" t="s">
        <v>126</v>
      </c>
      <c r="C125" t="s">
        <v>23</v>
      </c>
      <c r="D125" t="s">
        <v>100</v>
      </c>
      <c r="E125" s="2">
        <v>8.82</v>
      </c>
      <c r="F125" s="2">
        <v>16.82</v>
      </c>
      <c r="G125" s="3">
        <v>216</v>
      </c>
      <c r="H125" s="3">
        <v>65</v>
      </c>
      <c r="I125" s="3">
        <v>151</v>
      </c>
      <c r="J125" s="3">
        <v>23</v>
      </c>
      <c r="K125" t="s">
        <v>20</v>
      </c>
      <c r="L125" s="2">
        <f t="shared" si="3"/>
        <v>8</v>
      </c>
      <c r="M125" s="2">
        <f t="shared" si="4"/>
        <v>1093.3</v>
      </c>
      <c r="N125" s="2">
        <f t="shared" si="5"/>
        <v>520</v>
      </c>
    </row>
    <row r="126" spans="1:14">
      <c r="A126" t="s">
        <v>219</v>
      </c>
      <c r="B126" t="s">
        <v>220</v>
      </c>
      <c r="C126" t="s">
        <v>23</v>
      </c>
      <c r="D126" t="s">
        <v>28</v>
      </c>
      <c r="E126" s="2">
        <v>20.14</v>
      </c>
      <c r="F126" s="2">
        <v>34.549999999999997</v>
      </c>
      <c r="G126" s="3">
        <v>169</v>
      </c>
      <c r="H126" s="3">
        <v>88</v>
      </c>
      <c r="I126" s="3">
        <v>81</v>
      </c>
      <c r="J126" s="3">
        <v>26</v>
      </c>
      <c r="K126" t="s">
        <v>20</v>
      </c>
      <c r="L126" s="2">
        <f t="shared" si="3"/>
        <v>14.409999999999997</v>
      </c>
      <c r="M126" s="2">
        <f t="shared" si="4"/>
        <v>3040.3999999999996</v>
      </c>
      <c r="N126" s="2">
        <f t="shared" si="5"/>
        <v>1268.0799999999997</v>
      </c>
    </row>
    <row r="127" spans="1:14">
      <c r="A127" t="s">
        <v>221</v>
      </c>
      <c r="B127" t="s">
        <v>222</v>
      </c>
      <c r="C127" t="s">
        <v>18</v>
      </c>
      <c r="D127" t="s">
        <v>39</v>
      </c>
      <c r="E127" s="2">
        <v>17.82</v>
      </c>
      <c r="F127" s="2">
        <v>32.299999999999997</v>
      </c>
      <c r="G127" s="3">
        <v>74</v>
      </c>
      <c r="H127" s="3">
        <v>63</v>
      </c>
      <c r="I127" s="3">
        <v>11</v>
      </c>
      <c r="J127" s="3">
        <v>15</v>
      </c>
      <c r="K127" t="s">
        <v>15</v>
      </c>
      <c r="L127" s="2">
        <f t="shared" si="3"/>
        <v>14.479999999999997</v>
      </c>
      <c r="M127" s="2">
        <f t="shared" si="4"/>
        <v>2034.8999999999999</v>
      </c>
      <c r="N127" s="2">
        <f t="shared" si="5"/>
        <v>912.23999999999978</v>
      </c>
    </row>
    <row r="128" spans="1:14">
      <c r="A128" t="s">
        <v>223</v>
      </c>
      <c r="B128" t="s">
        <v>92</v>
      </c>
      <c r="C128" t="s">
        <v>27</v>
      </c>
      <c r="D128" t="s">
        <v>28</v>
      </c>
      <c r="E128" s="2">
        <v>10.9</v>
      </c>
      <c r="F128" s="2">
        <v>15.35</v>
      </c>
      <c r="G128" s="3">
        <v>398</v>
      </c>
      <c r="H128" s="3">
        <v>264</v>
      </c>
      <c r="I128" s="3">
        <v>134</v>
      </c>
      <c r="J128" s="3">
        <v>47</v>
      </c>
      <c r="K128" t="s">
        <v>20</v>
      </c>
      <c r="L128" s="2">
        <f t="shared" si="3"/>
        <v>4.4499999999999993</v>
      </c>
      <c r="M128" s="2">
        <f t="shared" si="4"/>
        <v>4052.4</v>
      </c>
      <c r="N128" s="2">
        <f t="shared" si="5"/>
        <v>1174.7999999999997</v>
      </c>
    </row>
    <row r="129" spans="1:14">
      <c r="A129" t="s">
        <v>224</v>
      </c>
      <c r="B129" t="s">
        <v>216</v>
      </c>
      <c r="C129" t="s">
        <v>23</v>
      </c>
      <c r="D129" t="s">
        <v>77</v>
      </c>
      <c r="E129" s="2">
        <v>18.48</v>
      </c>
      <c r="F129" s="2">
        <v>36.700000000000003</v>
      </c>
      <c r="G129" s="3">
        <v>320</v>
      </c>
      <c r="H129" s="3">
        <v>96</v>
      </c>
      <c r="I129" s="3">
        <v>224</v>
      </c>
      <c r="J129" s="3">
        <v>41</v>
      </c>
      <c r="K129" t="s">
        <v>20</v>
      </c>
      <c r="L129" s="2">
        <f t="shared" si="3"/>
        <v>18.220000000000002</v>
      </c>
      <c r="M129" s="2">
        <f t="shared" si="4"/>
        <v>3523.2000000000003</v>
      </c>
      <c r="N129" s="2">
        <f t="shared" si="5"/>
        <v>1749.1200000000003</v>
      </c>
    </row>
    <row r="130" spans="1:14">
      <c r="A130" t="s">
        <v>225</v>
      </c>
      <c r="B130" t="s">
        <v>131</v>
      </c>
      <c r="C130" t="s">
        <v>88</v>
      </c>
      <c r="D130" t="s">
        <v>28</v>
      </c>
      <c r="E130" s="2">
        <v>11.36</v>
      </c>
      <c r="F130" s="2">
        <v>20.12</v>
      </c>
      <c r="G130" s="3">
        <v>177</v>
      </c>
      <c r="H130" s="3">
        <v>90</v>
      </c>
      <c r="I130" s="3">
        <v>87</v>
      </c>
      <c r="J130" s="3">
        <v>32</v>
      </c>
      <c r="K130" t="s">
        <v>20</v>
      </c>
      <c r="L130" s="2">
        <f t="shared" si="3"/>
        <v>8.7600000000000016</v>
      </c>
      <c r="M130" s="2">
        <f t="shared" si="4"/>
        <v>1810.8000000000002</v>
      </c>
      <c r="N130" s="2">
        <f t="shared" si="5"/>
        <v>788.40000000000009</v>
      </c>
    </row>
    <row r="131" spans="1:14">
      <c r="A131" t="s">
        <v>226</v>
      </c>
      <c r="B131" t="s">
        <v>227</v>
      </c>
      <c r="C131" t="s">
        <v>27</v>
      </c>
      <c r="D131" t="s">
        <v>77</v>
      </c>
      <c r="E131" s="2">
        <v>6.67</v>
      </c>
      <c r="F131" s="2">
        <v>14.55</v>
      </c>
      <c r="G131" s="3">
        <v>100</v>
      </c>
      <c r="H131" s="3">
        <v>75</v>
      </c>
      <c r="I131" s="3">
        <v>25</v>
      </c>
      <c r="J131" s="3">
        <v>16</v>
      </c>
      <c r="K131" t="s">
        <v>20</v>
      </c>
      <c r="L131" s="2">
        <f t="shared" ref="L131:L194" si="6">F131-E131</f>
        <v>7.8800000000000008</v>
      </c>
      <c r="M131" s="2">
        <f t="shared" ref="M131:M194" si="7">H131*F131</f>
        <v>1091.25</v>
      </c>
      <c r="N131" s="2">
        <f t="shared" ref="N131:N194" si="8">H131*L131</f>
        <v>591.00000000000011</v>
      </c>
    </row>
    <row r="132" spans="1:14">
      <c r="A132" t="s">
        <v>228</v>
      </c>
      <c r="B132" t="s">
        <v>229</v>
      </c>
      <c r="C132" t="s">
        <v>88</v>
      </c>
      <c r="D132" t="s">
        <v>77</v>
      </c>
      <c r="E132" s="2">
        <v>36.25</v>
      </c>
      <c r="F132" s="2">
        <v>70.98</v>
      </c>
      <c r="G132" s="3">
        <v>116</v>
      </c>
      <c r="H132" s="3">
        <v>94</v>
      </c>
      <c r="I132" s="3">
        <v>22</v>
      </c>
      <c r="J132" s="3">
        <v>14</v>
      </c>
      <c r="K132" t="s">
        <v>20</v>
      </c>
      <c r="L132" s="2">
        <f t="shared" si="6"/>
        <v>34.730000000000004</v>
      </c>
      <c r="M132" s="2">
        <f t="shared" si="7"/>
        <v>6672.1200000000008</v>
      </c>
      <c r="N132" s="2">
        <f t="shared" si="8"/>
        <v>3264.6200000000003</v>
      </c>
    </row>
    <row r="133" spans="1:14">
      <c r="A133" t="s">
        <v>230</v>
      </c>
      <c r="B133" t="s">
        <v>202</v>
      </c>
      <c r="C133" t="s">
        <v>13</v>
      </c>
      <c r="D133" t="s">
        <v>100</v>
      </c>
      <c r="E133" s="2">
        <v>24.12</v>
      </c>
      <c r="F133" s="2">
        <v>35.53</v>
      </c>
      <c r="G133" s="3">
        <v>292</v>
      </c>
      <c r="H133" s="3">
        <v>142</v>
      </c>
      <c r="I133" s="3">
        <v>150</v>
      </c>
      <c r="J133" s="3">
        <v>63</v>
      </c>
      <c r="K133" t="s">
        <v>20</v>
      </c>
      <c r="L133" s="2">
        <f t="shared" si="6"/>
        <v>11.41</v>
      </c>
      <c r="M133" s="2">
        <f t="shared" si="7"/>
        <v>5045.26</v>
      </c>
      <c r="N133" s="2">
        <f t="shared" si="8"/>
        <v>1620.22</v>
      </c>
    </row>
    <row r="134" spans="1:14">
      <c r="A134" t="s">
        <v>231</v>
      </c>
      <c r="B134" t="s">
        <v>106</v>
      </c>
      <c r="C134" t="s">
        <v>33</v>
      </c>
      <c r="D134" t="s">
        <v>42</v>
      </c>
      <c r="E134" s="2">
        <v>3.65</v>
      </c>
      <c r="F134" s="2">
        <v>7.04</v>
      </c>
      <c r="G134" s="3">
        <v>411</v>
      </c>
      <c r="H134" s="3">
        <v>370</v>
      </c>
      <c r="I134" s="3">
        <v>41</v>
      </c>
      <c r="J134" s="3">
        <v>76</v>
      </c>
      <c r="K134" t="s">
        <v>15</v>
      </c>
      <c r="L134" s="2">
        <f t="shared" si="6"/>
        <v>3.39</v>
      </c>
      <c r="M134" s="2">
        <f t="shared" si="7"/>
        <v>2604.8000000000002</v>
      </c>
      <c r="N134" s="2">
        <f t="shared" si="8"/>
        <v>1254.3</v>
      </c>
    </row>
    <row r="135" spans="1:14">
      <c r="A135" t="s">
        <v>232</v>
      </c>
      <c r="B135" t="s">
        <v>153</v>
      </c>
      <c r="C135" t="s">
        <v>27</v>
      </c>
      <c r="D135" t="s">
        <v>100</v>
      </c>
      <c r="E135" s="2">
        <v>17.36</v>
      </c>
      <c r="F135" s="2">
        <v>36.92</v>
      </c>
      <c r="G135" s="3">
        <v>178</v>
      </c>
      <c r="H135" s="3">
        <v>88</v>
      </c>
      <c r="I135" s="3">
        <v>90</v>
      </c>
      <c r="J135" s="3">
        <v>20</v>
      </c>
      <c r="K135" t="s">
        <v>20</v>
      </c>
      <c r="L135" s="2">
        <f t="shared" si="6"/>
        <v>19.560000000000002</v>
      </c>
      <c r="M135" s="2">
        <f t="shared" si="7"/>
        <v>3248.96</v>
      </c>
      <c r="N135" s="2">
        <f t="shared" si="8"/>
        <v>1721.2800000000002</v>
      </c>
    </row>
    <row r="136" spans="1:14">
      <c r="A136" t="s">
        <v>233</v>
      </c>
      <c r="B136" t="s">
        <v>62</v>
      </c>
      <c r="C136" t="s">
        <v>13</v>
      </c>
      <c r="D136" t="s">
        <v>100</v>
      </c>
      <c r="E136" s="2">
        <v>13.11</v>
      </c>
      <c r="F136" s="2">
        <v>23.98</v>
      </c>
      <c r="G136" s="3">
        <v>397</v>
      </c>
      <c r="H136" s="3">
        <v>96</v>
      </c>
      <c r="I136" s="3">
        <v>301</v>
      </c>
      <c r="J136" s="3">
        <v>81</v>
      </c>
      <c r="K136" t="s">
        <v>20</v>
      </c>
      <c r="L136" s="2">
        <f t="shared" si="6"/>
        <v>10.870000000000001</v>
      </c>
      <c r="M136" s="2">
        <f t="shared" si="7"/>
        <v>2302.08</v>
      </c>
      <c r="N136" s="2">
        <f t="shared" si="8"/>
        <v>1043.52</v>
      </c>
    </row>
    <row r="137" spans="1:14">
      <c r="A137" t="s">
        <v>234</v>
      </c>
      <c r="B137" t="s">
        <v>79</v>
      </c>
      <c r="C137" t="s">
        <v>13</v>
      </c>
      <c r="D137" t="s">
        <v>19</v>
      </c>
      <c r="E137" s="2">
        <v>9.6199999999999992</v>
      </c>
      <c r="F137" s="2">
        <v>17.21</v>
      </c>
      <c r="G137" s="3">
        <v>353</v>
      </c>
      <c r="H137" s="3">
        <v>56</v>
      </c>
      <c r="I137" s="3">
        <v>297</v>
      </c>
      <c r="J137" s="3">
        <v>67</v>
      </c>
      <c r="K137" t="s">
        <v>20</v>
      </c>
      <c r="L137" s="2">
        <f t="shared" si="6"/>
        <v>7.5900000000000016</v>
      </c>
      <c r="M137" s="2">
        <f t="shared" si="7"/>
        <v>963.76</v>
      </c>
      <c r="N137" s="2">
        <f t="shared" si="8"/>
        <v>425.04000000000008</v>
      </c>
    </row>
    <row r="138" spans="1:14">
      <c r="A138" t="s">
        <v>235</v>
      </c>
      <c r="B138" t="s">
        <v>229</v>
      </c>
      <c r="C138" t="s">
        <v>88</v>
      </c>
      <c r="D138" t="s">
        <v>19</v>
      </c>
      <c r="E138" s="2">
        <v>26.24</v>
      </c>
      <c r="F138" s="2">
        <v>36.090000000000003</v>
      </c>
      <c r="G138" s="3">
        <v>495</v>
      </c>
      <c r="H138" s="3">
        <v>407</v>
      </c>
      <c r="I138" s="3">
        <v>88</v>
      </c>
      <c r="J138" s="3">
        <v>97</v>
      </c>
      <c r="K138" t="s">
        <v>15</v>
      </c>
      <c r="L138" s="2">
        <f t="shared" si="6"/>
        <v>9.850000000000005</v>
      </c>
      <c r="M138" s="2">
        <f t="shared" si="7"/>
        <v>14688.630000000001</v>
      </c>
      <c r="N138" s="2">
        <f t="shared" si="8"/>
        <v>4008.9500000000021</v>
      </c>
    </row>
    <row r="139" spans="1:14">
      <c r="A139" t="s">
        <v>236</v>
      </c>
      <c r="B139" t="s">
        <v>237</v>
      </c>
      <c r="C139" t="s">
        <v>47</v>
      </c>
      <c r="D139" t="s">
        <v>39</v>
      </c>
      <c r="E139" s="2">
        <v>12.98</v>
      </c>
      <c r="F139" s="2">
        <v>24.22</v>
      </c>
      <c r="G139" s="3">
        <v>354</v>
      </c>
      <c r="H139" s="3">
        <v>150</v>
      </c>
      <c r="I139" s="3">
        <v>204</v>
      </c>
      <c r="J139" s="3">
        <v>56</v>
      </c>
      <c r="K139" t="s">
        <v>20</v>
      </c>
      <c r="L139" s="2">
        <f t="shared" si="6"/>
        <v>11.239999999999998</v>
      </c>
      <c r="M139" s="2">
        <f t="shared" si="7"/>
        <v>3633</v>
      </c>
      <c r="N139" s="2">
        <f t="shared" si="8"/>
        <v>1685.9999999999998</v>
      </c>
    </row>
    <row r="140" spans="1:14">
      <c r="A140" t="s">
        <v>238</v>
      </c>
      <c r="B140" t="s">
        <v>135</v>
      </c>
      <c r="C140" t="s">
        <v>18</v>
      </c>
      <c r="D140" t="s">
        <v>14</v>
      </c>
      <c r="E140" s="2">
        <v>9.75</v>
      </c>
      <c r="F140" s="2">
        <v>18.84</v>
      </c>
      <c r="G140" s="3">
        <v>326</v>
      </c>
      <c r="H140" s="3">
        <v>62</v>
      </c>
      <c r="I140" s="3">
        <v>264</v>
      </c>
      <c r="J140" s="3">
        <v>36</v>
      </c>
      <c r="K140" t="s">
        <v>20</v>
      </c>
      <c r="L140" s="2">
        <f t="shared" si="6"/>
        <v>9.09</v>
      </c>
      <c r="M140" s="2">
        <f t="shared" si="7"/>
        <v>1168.08</v>
      </c>
      <c r="N140" s="2">
        <f t="shared" si="8"/>
        <v>563.58000000000004</v>
      </c>
    </row>
    <row r="141" spans="1:14">
      <c r="A141" t="s">
        <v>239</v>
      </c>
      <c r="B141" t="s">
        <v>37</v>
      </c>
      <c r="C141" t="s">
        <v>23</v>
      </c>
      <c r="D141" t="s">
        <v>42</v>
      </c>
      <c r="E141" s="2">
        <v>2.82</v>
      </c>
      <c r="F141" s="2">
        <v>4.2300000000000004</v>
      </c>
      <c r="G141" s="3">
        <v>131</v>
      </c>
      <c r="H141" s="3">
        <v>37</v>
      </c>
      <c r="I141" s="3">
        <v>94</v>
      </c>
      <c r="J141" s="3">
        <v>30</v>
      </c>
      <c r="K141" t="s">
        <v>20</v>
      </c>
      <c r="L141" s="2">
        <f t="shared" si="6"/>
        <v>1.4100000000000006</v>
      </c>
      <c r="M141" s="2">
        <f t="shared" si="7"/>
        <v>156.51000000000002</v>
      </c>
      <c r="N141" s="2">
        <f t="shared" si="8"/>
        <v>52.170000000000023</v>
      </c>
    </row>
    <row r="142" spans="1:14">
      <c r="A142" t="s">
        <v>240</v>
      </c>
      <c r="B142" t="s">
        <v>222</v>
      </c>
      <c r="C142" t="s">
        <v>18</v>
      </c>
      <c r="D142" t="s">
        <v>39</v>
      </c>
      <c r="E142" s="2">
        <v>1.79</v>
      </c>
      <c r="F142" s="2">
        <v>2.5</v>
      </c>
      <c r="G142" s="3">
        <v>178</v>
      </c>
      <c r="H142" s="3">
        <v>115</v>
      </c>
      <c r="I142" s="3">
        <v>63</v>
      </c>
      <c r="J142" s="3">
        <v>40</v>
      </c>
      <c r="K142" t="s">
        <v>20</v>
      </c>
      <c r="L142" s="2">
        <f t="shared" si="6"/>
        <v>0.71</v>
      </c>
      <c r="M142" s="2">
        <f t="shared" si="7"/>
        <v>287.5</v>
      </c>
      <c r="N142" s="2">
        <f t="shared" si="8"/>
        <v>81.649999999999991</v>
      </c>
    </row>
    <row r="143" spans="1:14">
      <c r="A143" t="s">
        <v>241</v>
      </c>
      <c r="B143" t="s">
        <v>207</v>
      </c>
      <c r="C143" t="s">
        <v>88</v>
      </c>
      <c r="D143" t="s">
        <v>54</v>
      </c>
      <c r="E143" s="2">
        <v>41.83</v>
      </c>
      <c r="F143" s="2">
        <v>61.16</v>
      </c>
      <c r="G143" s="3">
        <v>80</v>
      </c>
      <c r="H143" s="3">
        <v>67</v>
      </c>
      <c r="I143" s="3">
        <v>13</v>
      </c>
      <c r="J143" s="3">
        <v>13</v>
      </c>
      <c r="K143" t="s">
        <v>15</v>
      </c>
      <c r="L143" s="2">
        <f t="shared" si="6"/>
        <v>19.329999999999998</v>
      </c>
      <c r="M143" s="2">
        <f t="shared" si="7"/>
        <v>4097.7199999999993</v>
      </c>
      <c r="N143" s="2">
        <f t="shared" si="8"/>
        <v>1295.1099999999999</v>
      </c>
    </row>
    <row r="144" spans="1:14">
      <c r="A144" t="s">
        <v>242</v>
      </c>
      <c r="B144" t="s">
        <v>151</v>
      </c>
      <c r="C144" t="s">
        <v>53</v>
      </c>
      <c r="D144" t="s">
        <v>28</v>
      </c>
      <c r="E144" s="2">
        <v>17.71</v>
      </c>
      <c r="F144" s="2">
        <v>29.65</v>
      </c>
      <c r="G144" s="3">
        <v>78</v>
      </c>
      <c r="H144" s="3">
        <v>45</v>
      </c>
      <c r="I144" s="3">
        <v>33</v>
      </c>
      <c r="J144" s="3">
        <v>14</v>
      </c>
      <c r="K144" t="s">
        <v>20</v>
      </c>
      <c r="L144" s="2">
        <f t="shared" si="6"/>
        <v>11.939999999999998</v>
      </c>
      <c r="M144" s="2">
        <f t="shared" si="7"/>
        <v>1334.25</v>
      </c>
      <c r="N144" s="2">
        <f t="shared" si="8"/>
        <v>537.29999999999995</v>
      </c>
    </row>
    <row r="145" spans="1:14">
      <c r="A145" t="s">
        <v>243</v>
      </c>
      <c r="B145" t="s">
        <v>229</v>
      </c>
      <c r="C145" t="s">
        <v>88</v>
      </c>
      <c r="D145" t="s">
        <v>77</v>
      </c>
      <c r="E145" s="2">
        <v>21.73</v>
      </c>
      <c r="F145" s="2">
        <v>37.36</v>
      </c>
      <c r="G145" s="3">
        <v>104</v>
      </c>
      <c r="H145" s="3">
        <v>97</v>
      </c>
      <c r="I145" s="3">
        <v>7</v>
      </c>
      <c r="J145" s="3">
        <v>12</v>
      </c>
      <c r="K145" t="s">
        <v>15</v>
      </c>
      <c r="L145" s="2">
        <f t="shared" si="6"/>
        <v>15.629999999999999</v>
      </c>
      <c r="M145" s="2">
        <f t="shared" si="7"/>
        <v>3623.92</v>
      </c>
      <c r="N145" s="2">
        <f t="shared" si="8"/>
        <v>1516.11</v>
      </c>
    </row>
    <row r="146" spans="1:14">
      <c r="A146" t="s">
        <v>244</v>
      </c>
      <c r="B146" t="s">
        <v>135</v>
      </c>
      <c r="C146" t="s">
        <v>18</v>
      </c>
      <c r="D146" t="s">
        <v>54</v>
      </c>
      <c r="E146" s="2">
        <v>17.14</v>
      </c>
      <c r="F146" s="2">
        <v>30.32</v>
      </c>
      <c r="G146" s="3">
        <v>300</v>
      </c>
      <c r="H146" s="3">
        <v>85</v>
      </c>
      <c r="I146" s="3">
        <v>215</v>
      </c>
      <c r="J146" s="3">
        <v>39</v>
      </c>
      <c r="K146" t="s">
        <v>20</v>
      </c>
      <c r="L146" s="2">
        <f t="shared" si="6"/>
        <v>13.18</v>
      </c>
      <c r="M146" s="2">
        <f t="shared" si="7"/>
        <v>2577.1999999999998</v>
      </c>
      <c r="N146" s="2">
        <f t="shared" si="8"/>
        <v>1120.3</v>
      </c>
    </row>
    <row r="147" spans="1:14">
      <c r="A147" t="s">
        <v>245</v>
      </c>
      <c r="B147" t="s">
        <v>246</v>
      </c>
      <c r="C147" t="s">
        <v>33</v>
      </c>
      <c r="D147" t="s">
        <v>77</v>
      </c>
      <c r="E147" s="2">
        <v>6.06</v>
      </c>
      <c r="F147" s="2">
        <v>10.46</v>
      </c>
      <c r="G147" s="3">
        <v>136</v>
      </c>
      <c r="H147" s="3">
        <v>45</v>
      </c>
      <c r="I147" s="3">
        <v>91</v>
      </c>
      <c r="J147" s="3">
        <v>31</v>
      </c>
      <c r="K147" t="s">
        <v>20</v>
      </c>
      <c r="L147" s="2">
        <f t="shared" si="6"/>
        <v>4.4000000000000012</v>
      </c>
      <c r="M147" s="2">
        <f t="shared" si="7"/>
        <v>470.70000000000005</v>
      </c>
      <c r="N147" s="2">
        <f t="shared" si="8"/>
        <v>198.00000000000006</v>
      </c>
    </row>
    <row r="148" spans="1:14">
      <c r="A148" t="s">
        <v>247</v>
      </c>
      <c r="B148" t="s">
        <v>248</v>
      </c>
      <c r="C148" t="s">
        <v>27</v>
      </c>
      <c r="D148" t="s">
        <v>54</v>
      </c>
      <c r="E148" s="2">
        <v>20.45</v>
      </c>
      <c r="F148" s="2">
        <v>33.869999999999997</v>
      </c>
      <c r="G148" s="3">
        <v>436</v>
      </c>
      <c r="H148" s="3">
        <v>388</v>
      </c>
      <c r="I148" s="3">
        <v>48</v>
      </c>
      <c r="J148" s="3">
        <v>73</v>
      </c>
      <c r="K148" t="s">
        <v>15</v>
      </c>
      <c r="L148" s="2">
        <f t="shared" si="6"/>
        <v>13.419999999999998</v>
      </c>
      <c r="M148" s="2">
        <f t="shared" si="7"/>
        <v>13141.56</v>
      </c>
      <c r="N148" s="2">
        <f t="shared" si="8"/>
        <v>5206.9599999999991</v>
      </c>
    </row>
    <row r="149" spans="1:14">
      <c r="A149" t="s">
        <v>249</v>
      </c>
      <c r="B149" t="s">
        <v>97</v>
      </c>
      <c r="C149" t="s">
        <v>53</v>
      </c>
      <c r="D149" t="s">
        <v>39</v>
      </c>
      <c r="E149" s="2">
        <v>33.67</v>
      </c>
      <c r="F149" s="2">
        <v>53.9</v>
      </c>
      <c r="G149" s="3">
        <v>155</v>
      </c>
      <c r="H149" s="3">
        <v>70</v>
      </c>
      <c r="I149" s="3">
        <v>85</v>
      </c>
      <c r="J149" s="3">
        <v>24</v>
      </c>
      <c r="K149" t="s">
        <v>20</v>
      </c>
      <c r="L149" s="2">
        <f t="shared" si="6"/>
        <v>20.229999999999997</v>
      </c>
      <c r="M149" s="2">
        <f t="shared" si="7"/>
        <v>3773</v>
      </c>
      <c r="N149" s="2">
        <f t="shared" si="8"/>
        <v>1416.0999999999997</v>
      </c>
    </row>
    <row r="150" spans="1:14">
      <c r="A150" t="s">
        <v>250</v>
      </c>
      <c r="B150" t="s">
        <v>251</v>
      </c>
      <c r="C150" t="s">
        <v>13</v>
      </c>
      <c r="D150" t="s">
        <v>28</v>
      </c>
      <c r="E150" s="2">
        <v>23.16</v>
      </c>
      <c r="F150" s="2">
        <v>38.65</v>
      </c>
      <c r="G150" s="3">
        <v>385</v>
      </c>
      <c r="H150" s="3">
        <v>334</v>
      </c>
      <c r="I150" s="3">
        <v>51</v>
      </c>
      <c r="J150" s="3">
        <v>70</v>
      </c>
      <c r="K150" t="s">
        <v>15</v>
      </c>
      <c r="L150" s="2">
        <f t="shared" si="6"/>
        <v>15.489999999999998</v>
      </c>
      <c r="M150" s="2">
        <f t="shared" si="7"/>
        <v>12909.1</v>
      </c>
      <c r="N150" s="2">
        <f t="shared" si="8"/>
        <v>5173.66</v>
      </c>
    </row>
    <row r="151" spans="1:14">
      <c r="A151" t="s">
        <v>252</v>
      </c>
      <c r="B151" t="s">
        <v>37</v>
      </c>
      <c r="C151" t="s">
        <v>23</v>
      </c>
      <c r="D151" t="s">
        <v>19</v>
      </c>
      <c r="E151" s="2">
        <v>18.57</v>
      </c>
      <c r="F151" s="2">
        <v>28.05</v>
      </c>
      <c r="G151" s="3">
        <v>229</v>
      </c>
      <c r="H151" s="3">
        <v>184</v>
      </c>
      <c r="I151" s="3">
        <v>45</v>
      </c>
      <c r="J151" s="3">
        <v>39</v>
      </c>
      <c r="K151" t="s">
        <v>20</v>
      </c>
      <c r="L151" s="2">
        <f t="shared" si="6"/>
        <v>9.48</v>
      </c>
      <c r="M151" s="2">
        <f t="shared" si="7"/>
        <v>5161.2</v>
      </c>
      <c r="N151" s="2">
        <f t="shared" si="8"/>
        <v>1744.3200000000002</v>
      </c>
    </row>
    <row r="152" spans="1:14">
      <c r="A152" t="s">
        <v>253</v>
      </c>
      <c r="B152" t="s">
        <v>164</v>
      </c>
      <c r="C152" t="s">
        <v>18</v>
      </c>
      <c r="D152" t="s">
        <v>48</v>
      </c>
      <c r="E152" s="2">
        <v>13.19</v>
      </c>
      <c r="F152" s="2">
        <v>24.74</v>
      </c>
      <c r="G152" s="3">
        <v>388</v>
      </c>
      <c r="H152" s="3">
        <v>366</v>
      </c>
      <c r="I152" s="3">
        <v>22</v>
      </c>
      <c r="J152" s="3">
        <v>80</v>
      </c>
      <c r="K152" t="s">
        <v>15</v>
      </c>
      <c r="L152" s="2">
        <f t="shared" si="6"/>
        <v>11.549999999999999</v>
      </c>
      <c r="M152" s="2">
        <f t="shared" si="7"/>
        <v>9054.84</v>
      </c>
      <c r="N152" s="2">
        <f t="shared" si="8"/>
        <v>4227.2999999999993</v>
      </c>
    </row>
    <row r="153" spans="1:14">
      <c r="A153" t="s">
        <v>254</v>
      </c>
      <c r="B153" t="s">
        <v>69</v>
      </c>
      <c r="C153" t="s">
        <v>23</v>
      </c>
      <c r="D153" t="s">
        <v>100</v>
      </c>
      <c r="E153" s="2">
        <v>13.99</v>
      </c>
      <c r="F153" s="2">
        <v>27.26</v>
      </c>
      <c r="G153" s="3">
        <v>56</v>
      </c>
      <c r="H153" s="3">
        <v>29</v>
      </c>
      <c r="I153" s="3">
        <v>27</v>
      </c>
      <c r="J153" s="3">
        <v>13</v>
      </c>
      <c r="K153" t="s">
        <v>20</v>
      </c>
      <c r="L153" s="2">
        <f t="shared" si="6"/>
        <v>13.270000000000001</v>
      </c>
      <c r="M153" s="2">
        <f t="shared" si="7"/>
        <v>790.54000000000008</v>
      </c>
      <c r="N153" s="2">
        <f t="shared" si="8"/>
        <v>384.83000000000004</v>
      </c>
    </row>
    <row r="154" spans="1:14">
      <c r="A154" t="s">
        <v>255</v>
      </c>
      <c r="B154" t="s">
        <v>207</v>
      </c>
      <c r="C154" t="s">
        <v>88</v>
      </c>
      <c r="D154" t="s">
        <v>28</v>
      </c>
      <c r="E154" s="2">
        <v>36.24</v>
      </c>
      <c r="F154" s="2">
        <v>53.1</v>
      </c>
      <c r="G154" s="3">
        <v>88</v>
      </c>
      <c r="H154" s="3">
        <v>46</v>
      </c>
      <c r="I154" s="3">
        <v>42</v>
      </c>
      <c r="J154" s="3">
        <v>17</v>
      </c>
      <c r="K154" t="s">
        <v>20</v>
      </c>
      <c r="L154" s="2">
        <f t="shared" si="6"/>
        <v>16.86</v>
      </c>
      <c r="M154" s="2">
        <f t="shared" si="7"/>
        <v>2442.6</v>
      </c>
      <c r="N154" s="2">
        <f t="shared" si="8"/>
        <v>775.56</v>
      </c>
    </row>
    <row r="155" spans="1:14">
      <c r="A155" t="s">
        <v>256</v>
      </c>
      <c r="B155" t="s">
        <v>97</v>
      </c>
      <c r="C155" t="s">
        <v>53</v>
      </c>
      <c r="D155" t="s">
        <v>42</v>
      </c>
      <c r="E155" s="2">
        <v>18.350000000000001</v>
      </c>
      <c r="F155" s="2">
        <v>24.16</v>
      </c>
      <c r="G155" s="3">
        <v>436</v>
      </c>
      <c r="H155" s="3">
        <v>329</v>
      </c>
      <c r="I155" s="3">
        <v>107</v>
      </c>
      <c r="J155" s="3">
        <v>85</v>
      </c>
      <c r="K155" t="s">
        <v>20</v>
      </c>
      <c r="L155" s="2">
        <f t="shared" si="6"/>
        <v>5.8099999999999987</v>
      </c>
      <c r="M155" s="2">
        <f t="shared" si="7"/>
        <v>7948.64</v>
      </c>
      <c r="N155" s="2">
        <f t="shared" si="8"/>
        <v>1911.4899999999996</v>
      </c>
    </row>
    <row r="156" spans="1:14">
      <c r="A156" t="s">
        <v>257</v>
      </c>
      <c r="B156" t="s">
        <v>69</v>
      </c>
      <c r="C156" t="s">
        <v>23</v>
      </c>
      <c r="D156" t="s">
        <v>28</v>
      </c>
      <c r="E156" s="2">
        <v>17.82</v>
      </c>
      <c r="F156" s="2">
        <v>30.74</v>
      </c>
      <c r="G156" s="3">
        <v>491</v>
      </c>
      <c r="H156" s="3">
        <v>62</v>
      </c>
      <c r="I156" s="3">
        <v>429</v>
      </c>
      <c r="J156" s="3">
        <v>73</v>
      </c>
      <c r="K156" t="s">
        <v>20</v>
      </c>
      <c r="L156" s="2">
        <f t="shared" si="6"/>
        <v>12.919999999999998</v>
      </c>
      <c r="M156" s="2">
        <f t="shared" si="7"/>
        <v>1905.8799999999999</v>
      </c>
      <c r="N156" s="2">
        <f t="shared" si="8"/>
        <v>801.03999999999985</v>
      </c>
    </row>
    <row r="157" spans="1:14">
      <c r="A157" t="s">
        <v>258</v>
      </c>
      <c r="B157" t="s">
        <v>259</v>
      </c>
      <c r="C157" t="s">
        <v>53</v>
      </c>
      <c r="D157" t="s">
        <v>19</v>
      </c>
      <c r="E157" s="2">
        <v>18.23</v>
      </c>
      <c r="F157" s="2">
        <v>29.33</v>
      </c>
      <c r="G157" s="3">
        <v>424</v>
      </c>
      <c r="H157" s="3">
        <v>108</v>
      </c>
      <c r="I157" s="3">
        <v>316</v>
      </c>
      <c r="J157" s="3">
        <v>77</v>
      </c>
      <c r="K157" t="s">
        <v>20</v>
      </c>
      <c r="L157" s="2">
        <f t="shared" si="6"/>
        <v>11.099999999999998</v>
      </c>
      <c r="M157" s="2">
        <f t="shared" si="7"/>
        <v>3167.64</v>
      </c>
      <c r="N157" s="2">
        <f t="shared" si="8"/>
        <v>1198.7999999999997</v>
      </c>
    </row>
    <row r="158" spans="1:14">
      <c r="A158" t="s">
        <v>260</v>
      </c>
      <c r="B158" t="s">
        <v>220</v>
      </c>
      <c r="C158" t="s">
        <v>23</v>
      </c>
      <c r="D158" t="s">
        <v>24</v>
      </c>
      <c r="E158" s="2">
        <v>5.54</v>
      </c>
      <c r="F158" s="2">
        <v>10.1</v>
      </c>
      <c r="G158" s="3">
        <v>148</v>
      </c>
      <c r="H158" s="3">
        <v>47</v>
      </c>
      <c r="I158" s="3">
        <v>101</v>
      </c>
      <c r="J158" s="3">
        <v>19</v>
      </c>
      <c r="K158" t="s">
        <v>20</v>
      </c>
      <c r="L158" s="2">
        <f t="shared" si="6"/>
        <v>4.5599999999999996</v>
      </c>
      <c r="M158" s="2">
        <f t="shared" si="7"/>
        <v>474.7</v>
      </c>
      <c r="N158" s="2">
        <f t="shared" si="8"/>
        <v>214.32</v>
      </c>
    </row>
    <row r="159" spans="1:14">
      <c r="A159" t="s">
        <v>261</v>
      </c>
      <c r="B159" t="s">
        <v>41</v>
      </c>
      <c r="C159" t="s">
        <v>23</v>
      </c>
      <c r="D159" t="s">
        <v>42</v>
      </c>
      <c r="E159" s="2">
        <v>23.5</v>
      </c>
      <c r="F159" s="2">
        <v>34.99</v>
      </c>
      <c r="G159" s="3">
        <v>238</v>
      </c>
      <c r="H159" s="3">
        <v>78</v>
      </c>
      <c r="I159" s="3">
        <v>160</v>
      </c>
      <c r="J159" s="3">
        <v>59</v>
      </c>
      <c r="K159" t="s">
        <v>20</v>
      </c>
      <c r="L159" s="2">
        <f t="shared" si="6"/>
        <v>11.490000000000002</v>
      </c>
      <c r="M159" s="2">
        <f t="shared" si="7"/>
        <v>2729.2200000000003</v>
      </c>
      <c r="N159" s="2">
        <f t="shared" si="8"/>
        <v>896.22000000000014</v>
      </c>
    </row>
    <row r="160" spans="1:14">
      <c r="A160" t="s">
        <v>262</v>
      </c>
      <c r="B160" t="s">
        <v>207</v>
      </c>
      <c r="C160" t="s">
        <v>88</v>
      </c>
      <c r="D160" t="s">
        <v>19</v>
      </c>
      <c r="E160" s="2">
        <v>30.94</v>
      </c>
      <c r="F160" s="2">
        <v>55.44</v>
      </c>
      <c r="G160" s="3">
        <v>470</v>
      </c>
      <c r="H160" s="3">
        <v>357</v>
      </c>
      <c r="I160" s="3">
        <v>113</v>
      </c>
      <c r="J160" s="3">
        <v>59</v>
      </c>
      <c r="K160" t="s">
        <v>20</v>
      </c>
      <c r="L160" s="2">
        <f t="shared" si="6"/>
        <v>24.499999999999996</v>
      </c>
      <c r="M160" s="2">
        <f t="shared" si="7"/>
        <v>19792.079999999998</v>
      </c>
      <c r="N160" s="2">
        <f t="shared" si="8"/>
        <v>8746.4999999999982</v>
      </c>
    </row>
    <row r="161" spans="1:14">
      <c r="A161" t="s">
        <v>263</v>
      </c>
      <c r="B161" t="s">
        <v>106</v>
      </c>
      <c r="C161" t="s">
        <v>33</v>
      </c>
      <c r="D161" t="s">
        <v>14</v>
      </c>
      <c r="E161" s="2">
        <v>4.47</v>
      </c>
      <c r="F161" s="2">
        <v>8.83</v>
      </c>
      <c r="G161" s="3">
        <v>327</v>
      </c>
      <c r="H161" s="3">
        <v>135</v>
      </c>
      <c r="I161" s="3">
        <v>192</v>
      </c>
      <c r="J161" s="3">
        <v>51</v>
      </c>
      <c r="K161" t="s">
        <v>20</v>
      </c>
      <c r="L161" s="2">
        <f t="shared" si="6"/>
        <v>4.3600000000000003</v>
      </c>
      <c r="M161" s="2">
        <f t="shared" si="7"/>
        <v>1192.05</v>
      </c>
      <c r="N161" s="2">
        <f t="shared" si="8"/>
        <v>588.6</v>
      </c>
    </row>
    <row r="162" spans="1:14">
      <c r="A162" t="s">
        <v>264</v>
      </c>
      <c r="B162" t="s">
        <v>76</v>
      </c>
      <c r="C162" t="s">
        <v>27</v>
      </c>
      <c r="D162" t="s">
        <v>24</v>
      </c>
      <c r="E162" s="2">
        <v>24.53</v>
      </c>
      <c r="F162" s="2">
        <v>46.7</v>
      </c>
      <c r="G162" s="3">
        <v>475</v>
      </c>
      <c r="H162" s="3">
        <v>402</v>
      </c>
      <c r="I162" s="3">
        <v>73</v>
      </c>
      <c r="J162" s="3">
        <v>101</v>
      </c>
      <c r="K162" t="s">
        <v>15</v>
      </c>
      <c r="L162" s="2">
        <f t="shared" si="6"/>
        <v>22.17</v>
      </c>
      <c r="M162" s="2">
        <f t="shared" si="7"/>
        <v>18773.400000000001</v>
      </c>
      <c r="N162" s="2">
        <f t="shared" si="8"/>
        <v>8912.34</v>
      </c>
    </row>
    <row r="163" spans="1:14">
      <c r="A163" t="s">
        <v>265</v>
      </c>
      <c r="B163" t="s">
        <v>151</v>
      </c>
      <c r="C163" t="s">
        <v>53</v>
      </c>
      <c r="D163" t="s">
        <v>77</v>
      </c>
      <c r="E163" s="2">
        <v>22</v>
      </c>
      <c r="F163" s="2">
        <v>28.99</v>
      </c>
      <c r="G163" s="3">
        <v>445</v>
      </c>
      <c r="H163" s="3">
        <v>214</v>
      </c>
      <c r="I163" s="3">
        <v>231</v>
      </c>
      <c r="J163" s="3">
        <v>88</v>
      </c>
      <c r="K163" t="s">
        <v>20</v>
      </c>
      <c r="L163" s="2">
        <f t="shared" si="6"/>
        <v>6.9899999999999984</v>
      </c>
      <c r="M163" s="2">
        <f t="shared" si="7"/>
        <v>6203.86</v>
      </c>
      <c r="N163" s="2">
        <f t="shared" si="8"/>
        <v>1495.8599999999997</v>
      </c>
    </row>
    <row r="164" spans="1:14">
      <c r="A164" t="s">
        <v>266</v>
      </c>
      <c r="B164" t="s">
        <v>114</v>
      </c>
      <c r="C164" t="s">
        <v>53</v>
      </c>
      <c r="D164" t="s">
        <v>19</v>
      </c>
      <c r="E164" s="2">
        <v>24.14</v>
      </c>
      <c r="F164" s="2">
        <v>49.7</v>
      </c>
      <c r="G164" s="3">
        <v>177</v>
      </c>
      <c r="H164" s="3">
        <v>77</v>
      </c>
      <c r="I164" s="3">
        <v>100</v>
      </c>
      <c r="J164" s="3">
        <v>43</v>
      </c>
      <c r="K164" t="s">
        <v>20</v>
      </c>
      <c r="L164" s="2">
        <f t="shared" si="6"/>
        <v>25.560000000000002</v>
      </c>
      <c r="M164" s="2">
        <f t="shared" si="7"/>
        <v>3826.9</v>
      </c>
      <c r="N164" s="2">
        <f t="shared" si="8"/>
        <v>1968.1200000000001</v>
      </c>
    </row>
    <row r="165" spans="1:14">
      <c r="A165" t="s">
        <v>267</v>
      </c>
      <c r="B165" t="s">
        <v>102</v>
      </c>
      <c r="C165" t="s">
        <v>53</v>
      </c>
      <c r="D165" t="s">
        <v>54</v>
      </c>
      <c r="E165" s="2">
        <v>30.52</v>
      </c>
      <c r="F165" s="2">
        <v>48.37</v>
      </c>
      <c r="G165" s="3">
        <v>158</v>
      </c>
      <c r="H165" s="3">
        <v>137</v>
      </c>
      <c r="I165" s="3">
        <v>21</v>
      </c>
      <c r="J165" s="3">
        <v>38</v>
      </c>
      <c r="K165" t="s">
        <v>15</v>
      </c>
      <c r="L165" s="2">
        <f t="shared" si="6"/>
        <v>17.849999999999998</v>
      </c>
      <c r="M165" s="2">
        <f t="shared" si="7"/>
        <v>6626.69</v>
      </c>
      <c r="N165" s="2">
        <f t="shared" si="8"/>
        <v>2445.4499999999998</v>
      </c>
    </row>
    <row r="166" spans="1:14">
      <c r="A166" t="s">
        <v>268</v>
      </c>
      <c r="B166" t="s">
        <v>37</v>
      </c>
      <c r="C166" t="s">
        <v>23</v>
      </c>
      <c r="D166" t="s">
        <v>19</v>
      </c>
      <c r="E166" s="2">
        <v>10.53</v>
      </c>
      <c r="F166" s="2">
        <v>21.71</v>
      </c>
      <c r="G166" s="3">
        <v>142</v>
      </c>
      <c r="H166" s="3">
        <v>75</v>
      </c>
      <c r="I166" s="3">
        <v>67</v>
      </c>
      <c r="J166" s="3">
        <v>29</v>
      </c>
      <c r="K166" t="s">
        <v>20</v>
      </c>
      <c r="L166" s="2">
        <f t="shared" si="6"/>
        <v>11.180000000000001</v>
      </c>
      <c r="M166" s="2">
        <f t="shared" si="7"/>
        <v>1628.25</v>
      </c>
      <c r="N166" s="2">
        <f t="shared" si="8"/>
        <v>838.50000000000011</v>
      </c>
    </row>
    <row r="167" spans="1:14">
      <c r="A167" t="s">
        <v>269</v>
      </c>
      <c r="B167" t="s">
        <v>135</v>
      </c>
      <c r="C167" t="s">
        <v>18</v>
      </c>
      <c r="D167" t="s">
        <v>77</v>
      </c>
      <c r="E167" s="2">
        <v>19.2</v>
      </c>
      <c r="F167" s="2">
        <v>33.39</v>
      </c>
      <c r="G167" s="3">
        <v>315</v>
      </c>
      <c r="H167" s="3">
        <v>137</v>
      </c>
      <c r="I167" s="3">
        <v>178</v>
      </c>
      <c r="J167" s="3">
        <v>35</v>
      </c>
      <c r="K167" t="s">
        <v>20</v>
      </c>
      <c r="L167" s="2">
        <f t="shared" si="6"/>
        <v>14.190000000000001</v>
      </c>
      <c r="M167" s="2">
        <f t="shared" si="7"/>
        <v>4574.43</v>
      </c>
      <c r="N167" s="2">
        <f t="shared" si="8"/>
        <v>1944.0300000000002</v>
      </c>
    </row>
    <row r="168" spans="1:14">
      <c r="A168" t="s">
        <v>270</v>
      </c>
      <c r="B168" t="s">
        <v>17</v>
      </c>
      <c r="C168" t="s">
        <v>18</v>
      </c>
      <c r="D168" t="s">
        <v>42</v>
      </c>
      <c r="E168" s="2">
        <v>5.26</v>
      </c>
      <c r="F168" s="2">
        <v>10.02</v>
      </c>
      <c r="G168" s="3">
        <v>72</v>
      </c>
      <c r="H168" s="3">
        <v>39</v>
      </c>
      <c r="I168" s="3">
        <v>33</v>
      </c>
      <c r="J168" s="3">
        <v>11</v>
      </c>
      <c r="K168" t="s">
        <v>20</v>
      </c>
      <c r="L168" s="2">
        <f t="shared" si="6"/>
        <v>4.76</v>
      </c>
      <c r="M168" s="2">
        <f t="shared" si="7"/>
        <v>390.78</v>
      </c>
      <c r="N168" s="2">
        <f t="shared" si="8"/>
        <v>185.64</v>
      </c>
    </row>
    <row r="169" spans="1:14">
      <c r="A169" t="s">
        <v>271</v>
      </c>
      <c r="B169" t="s">
        <v>272</v>
      </c>
      <c r="C169" t="s">
        <v>47</v>
      </c>
      <c r="D169" t="s">
        <v>24</v>
      </c>
      <c r="E169" s="2">
        <v>14.49</v>
      </c>
      <c r="F169" s="2">
        <v>22.05</v>
      </c>
      <c r="G169" s="3">
        <v>198</v>
      </c>
      <c r="H169" s="3">
        <v>122</v>
      </c>
      <c r="I169" s="3">
        <v>76</v>
      </c>
      <c r="J169" s="3">
        <v>25</v>
      </c>
      <c r="K169" t="s">
        <v>20</v>
      </c>
      <c r="L169" s="2">
        <f t="shared" si="6"/>
        <v>7.5600000000000005</v>
      </c>
      <c r="M169" s="2">
        <f t="shared" si="7"/>
        <v>2690.1</v>
      </c>
      <c r="N169" s="2">
        <f t="shared" si="8"/>
        <v>922.32</v>
      </c>
    </row>
    <row r="170" spans="1:14">
      <c r="A170" t="s">
        <v>273</v>
      </c>
      <c r="B170" t="s">
        <v>62</v>
      </c>
      <c r="C170" t="s">
        <v>13</v>
      </c>
      <c r="D170" t="s">
        <v>14</v>
      </c>
      <c r="E170" s="2">
        <v>20.87</v>
      </c>
      <c r="F170" s="2">
        <v>42.75</v>
      </c>
      <c r="G170" s="3">
        <v>275</v>
      </c>
      <c r="H170" s="3">
        <v>205</v>
      </c>
      <c r="I170" s="3">
        <v>70</v>
      </c>
      <c r="J170" s="3">
        <v>43</v>
      </c>
      <c r="K170" t="s">
        <v>20</v>
      </c>
      <c r="L170" s="2">
        <f t="shared" si="6"/>
        <v>21.88</v>
      </c>
      <c r="M170" s="2">
        <f t="shared" si="7"/>
        <v>8763.75</v>
      </c>
      <c r="N170" s="2">
        <f t="shared" si="8"/>
        <v>4485.3999999999996</v>
      </c>
    </row>
    <row r="171" spans="1:14">
      <c r="A171" t="s">
        <v>274</v>
      </c>
      <c r="B171" t="s">
        <v>85</v>
      </c>
      <c r="C171" t="s">
        <v>27</v>
      </c>
      <c r="D171" t="s">
        <v>24</v>
      </c>
      <c r="E171" s="2">
        <v>19.829999999999998</v>
      </c>
      <c r="F171" s="2">
        <v>34.380000000000003</v>
      </c>
      <c r="G171" s="3">
        <v>433</v>
      </c>
      <c r="H171" s="3">
        <v>93</v>
      </c>
      <c r="I171" s="3">
        <v>340</v>
      </c>
      <c r="J171" s="3">
        <v>54</v>
      </c>
      <c r="K171" t="s">
        <v>20</v>
      </c>
      <c r="L171" s="2">
        <f t="shared" si="6"/>
        <v>14.550000000000004</v>
      </c>
      <c r="M171" s="2">
        <f t="shared" si="7"/>
        <v>3197.34</v>
      </c>
      <c r="N171" s="2">
        <f t="shared" si="8"/>
        <v>1353.1500000000003</v>
      </c>
    </row>
    <row r="172" spans="1:14">
      <c r="A172" t="s">
        <v>275</v>
      </c>
      <c r="B172" t="s">
        <v>12</v>
      </c>
      <c r="C172" t="s">
        <v>13</v>
      </c>
      <c r="D172" t="s">
        <v>48</v>
      </c>
      <c r="E172" s="2">
        <v>12.95</v>
      </c>
      <c r="F172" s="2">
        <v>24.64</v>
      </c>
      <c r="G172" s="3">
        <v>260</v>
      </c>
      <c r="H172" s="3">
        <v>84</v>
      </c>
      <c r="I172" s="3">
        <v>176</v>
      </c>
      <c r="J172" s="3">
        <v>59</v>
      </c>
      <c r="K172" t="s">
        <v>20</v>
      </c>
      <c r="L172" s="2">
        <f t="shared" si="6"/>
        <v>11.690000000000001</v>
      </c>
      <c r="M172" s="2">
        <f t="shared" si="7"/>
        <v>2069.7600000000002</v>
      </c>
      <c r="N172" s="2">
        <f t="shared" si="8"/>
        <v>981.96000000000015</v>
      </c>
    </row>
    <row r="173" spans="1:14">
      <c r="A173" t="s">
        <v>276</v>
      </c>
      <c r="B173" t="s">
        <v>220</v>
      </c>
      <c r="C173" t="s">
        <v>23</v>
      </c>
      <c r="D173" t="s">
        <v>28</v>
      </c>
      <c r="E173" s="2">
        <v>17.100000000000001</v>
      </c>
      <c r="F173" s="2">
        <v>31.04</v>
      </c>
      <c r="G173" s="3">
        <v>137</v>
      </c>
      <c r="H173" s="3">
        <v>40</v>
      </c>
      <c r="I173" s="3">
        <v>97</v>
      </c>
      <c r="J173" s="3">
        <v>21</v>
      </c>
      <c r="K173" t="s">
        <v>20</v>
      </c>
      <c r="L173" s="2">
        <f t="shared" si="6"/>
        <v>13.939999999999998</v>
      </c>
      <c r="M173" s="2">
        <f t="shared" si="7"/>
        <v>1241.5999999999999</v>
      </c>
      <c r="N173" s="2">
        <f t="shared" si="8"/>
        <v>557.59999999999991</v>
      </c>
    </row>
    <row r="174" spans="1:14">
      <c r="A174" t="s">
        <v>277</v>
      </c>
      <c r="B174" t="s">
        <v>131</v>
      </c>
      <c r="C174" t="s">
        <v>88</v>
      </c>
      <c r="D174" t="s">
        <v>77</v>
      </c>
      <c r="E174" s="2">
        <v>55.77</v>
      </c>
      <c r="F174" s="2">
        <v>106.49</v>
      </c>
      <c r="G174" s="3">
        <v>203</v>
      </c>
      <c r="H174" s="3">
        <v>140</v>
      </c>
      <c r="I174" s="3">
        <v>63</v>
      </c>
      <c r="J174" s="3">
        <v>21</v>
      </c>
      <c r="K174" t="s">
        <v>20</v>
      </c>
      <c r="L174" s="2">
        <f t="shared" si="6"/>
        <v>50.719999999999992</v>
      </c>
      <c r="M174" s="2">
        <f t="shared" si="7"/>
        <v>14908.599999999999</v>
      </c>
      <c r="N174" s="2">
        <f t="shared" si="8"/>
        <v>7100.7999999999993</v>
      </c>
    </row>
    <row r="175" spans="1:14">
      <c r="A175" t="s">
        <v>278</v>
      </c>
      <c r="B175" t="s">
        <v>207</v>
      </c>
      <c r="C175" t="s">
        <v>88</v>
      </c>
      <c r="D175" t="s">
        <v>48</v>
      </c>
      <c r="E175" s="2">
        <v>70.760000000000005</v>
      </c>
      <c r="F175" s="2">
        <v>136.44</v>
      </c>
      <c r="G175" s="3">
        <v>312</v>
      </c>
      <c r="H175" s="3">
        <v>206</v>
      </c>
      <c r="I175" s="3">
        <v>106</v>
      </c>
      <c r="J175" s="3">
        <v>37</v>
      </c>
      <c r="K175" t="s">
        <v>20</v>
      </c>
      <c r="L175" s="2">
        <f t="shared" si="6"/>
        <v>65.679999999999993</v>
      </c>
      <c r="M175" s="2">
        <f t="shared" si="7"/>
        <v>28106.639999999999</v>
      </c>
      <c r="N175" s="2">
        <f t="shared" si="8"/>
        <v>13530.079999999998</v>
      </c>
    </row>
    <row r="176" spans="1:14">
      <c r="A176" t="s">
        <v>279</v>
      </c>
      <c r="B176" t="s">
        <v>128</v>
      </c>
      <c r="C176" t="s">
        <v>53</v>
      </c>
      <c r="D176" t="s">
        <v>77</v>
      </c>
      <c r="E176" s="2">
        <v>6.92</v>
      </c>
      <c r="F176" s="2">
        <v>13.99</v>
      </c>
      <c r="G176" s="3">
        <v>497</v>
      </c>
      <c r="H176" s="3">
        <v>101</v>
      </c>
      <c r="I176" s="3">
        <v>396</v>
      </c>
      <c r="J176" s="3">
        <v>117</v>
      </c>
      <c r="K176" t="s">
        <v>20</v>
      </c>
      <c r="L176" s="2">
        <f t="shared" si="6"/>
        <v>7.07</v>
      </c>
      <c r="M176" s="2">
        <f t="shared" si="7"/>
        <v>1412.99</v>
      </c>
      <c r="N176" s="2">
        <f t="shared" si="8"/>
        <v>714.07</v>
      </c>
    </row>
    <row r="177" spans="1:14">
      <c r="A177" t="s">
        <v>280</v>
      </c>
      <c r="B177" t="s">
        <v>246</v>
      </c>
      <c r="C177" t="s">
        <v>33</v>
      </c>
      <c r="D177" t="s">
        <v>48</v>
      </c>
      <c r="E177" s="2">
        <v>2.54</v>
      </c>
      <c r="F177" s="2">
        <v>3.65</v>
      </c>
      <c r="G177" s="3">
        <v>31</v>
      </c>
      <c r="H177" s="3">
        <v>15</v>
      </c>
      <c r="I177" s="3">
        <v>16</v>
      </c>
      <c r="J177" s="3">
        <v>4</v>
      </c>
      <c r="K177" t="s">
        <v>20</v>
      </c>
      <c r="L177" s="2">
        <f t="shared" si="6"/>
        <v>1.1099999999999999</v>
      </c>
      <c r="M177" s="2">
        <f t="shared" si="7"/>
        <v>54.75</v>
      </c>
      <c r="N177" s="2">
        <f t="shared" si="8"/>
        <v>16.649999999999999</v>
      </c>
    </row>
    <row r="178" spans="1:14">
      <c r="A178" t="s">
        <v>281</v>
      </c>
      <c r="B178" t="s">
        <v>17</v>
      </c>
      <c r="C178" t="s">
        <v>18</v>
      </c>
      <c r="D178" t="s">
        <v>28</v>
      </c>
      <c r="E178" s="2">
        <v>18.96</v>
      </c>
      <c r="F178" s="2">
        <v>37.68</v>
      </c>
      <c r="G178" s="3">
        <v>345</v>
      </c>
      <c r="H178" s="3">
        <v>275</v>
      </c>
      <c r="I178" s="3">
        <v>70</v>
      </c>
      <c r="J178" s="3">
        <v>74</v>
      </c>
      <c r="K178" t="s">
        <v>15</v>
      </c>
      <c r="L178" s="2">
        <f t="shared" si="6"/>
        <v>18.72</v>
      </c>
      <c r="M178" s="2">
        <f t="shared" si="7"/>
        <v>10362</v>
      </c>
      <c r="N178" s="2">
        <f t="shared" si="8"/>
        <v>5148</v>
      </c>
    </row>
    <row r="179" spans="1:14">
      <c r="A179" t="s">
        <v>282</v>
      </c>
      <c r="B179" t="s">
        <v>156</v>
      </c>
      <c r="C179" t="s">
        <v>47</v>
      </c>
      <c r="D179" t="s">
        <v>48</v>
      </c>
      <c r="E179" s="2">
        <v>4.26</v>
      </c>
      <c r="F179" s="2">
        <v>8.07</v>
      </c>
      <c r="G179" s="3">
        <v>311</v>
      </c>
      <c r="H179" s="3">
        <v>270</v>
      </c>
      <c r="I179" s="3">
        <v>41</v>
      </c>
      <c r="J179" s="3">
        <v>60</v>
      </c>
      <c r="K179" t="s">
        <v>15</v>
      </c>
      <c r="L179" s="2">
        <f t="shared" si="6"/>
        <v>3.8100000000000005</v>
      </c>
      <c r="M179" s="2">
        <f t="shared" si="7"/>
        <v>2178.9</v>
      </c>
      <c r="N179" s="2">
        <f t="shared" si="8"/>
        <v>1028.7</v>
      </c>
    </row>
    <row r="180" spans="1:14">
      <c r="A180" t="s">
        <v>283</v>
      </c>
      <c r="B180" t="s">
        <v>74</v>
      </c>
      <c r="C180" t="s">
        <v>23</v>
      </c>
      <c r="D180" t="s">
        <v>28</v>
      </c>
      <c r="E180" s="2">
        <v>23.05</v>
      </c>
      <c r="F180" s="2">
        <v>37.49</v>
      </c>
      <c r="G180" s="3">
        <v>185</v>
      </c>
      <c r="H180" s="3">
        <v>34</v>
      </c>
      <c r="I180" s="3">
        <v>151</v>
      </c>
      <c r="J180" s="3">
        <v>40</v>
      </c>
      <c r="K180" t="s">
        <v>20</v>
      </c>
      <c r="L180" s="2">
        <f t="shared" si="6"/>
        <v>14.440000000000001</v>
      </c>
      <c r="M180" s="2">
        <f t="shared" si="7"/>
        <v>1274.6600000000001</v>
      </c>
      <c r="N180" s="2">
        <f t="shared" si="8"/>
        <v>490.96000000000004</v>
      </c>
    </row>
    <row r="181" spans="1:14">
      <c r="A181" t="s">
        <v>284</v>
      </c>
      <c r="B181" t="s">
        <v>97</v>
      </c>
      <c r="C181" t="s">
        <v>53</v>
      </c>
      <c r="D181" t="s">
        <v>42</v>
      </c>
      <c r="E181" s="2">
        <v>25.08</v>
      </c>
      <c r="F181" s="2">
        <v>47.91</v>
      </c>
      <c r="G181" s="3">
        <v>303</v>
      </c>
      <c r="H181" s="3">
        <v>40</v>
      </c>
      <c r="I181" s="3">
        <v>263</v>
      </c>
      <c r="J181" s="3">
        <v>69</v>
      </c>
      <c r="K181" t="s">
        <v>20</v>
      </c>
      <c r="L181" s="2">
        <f t="shared" si="6"/>
        <v>22.83</v>
      </c>
      <c r="M181" s="2">
        <f t="shared" si="7"/>
        <v>1916.3999999999999</v>
      </c>
      <c r="N181" s="2">
        <f t="shared" si="8"/>
        <v>913.19999999999993</v>
      </c>
    </row>
    <row r="182" spans="1:14">
      <c r="A182" t="s">
        <v>285</v>
      </c>
      <c r="B182" t="s">
        <v>56</v>
      </c>
      <c r="C182" t="s">
        <v>23</v>
      </c>
      <c r="D182" t="s">
        <v>14</v>
      </c>
      <c r="E182" s="2">
        <v>15.63</v>
      </c>
      <c r="F182" s="2">
        <v>31.54</v>
      </c>
      <c r="G182" s="3">
        <v>286</v>
      </c>
      <c r="H182" s="3">
        <v>55</v>
      </c>
      <c r="I182" s="3">
        <v>231</v>
      </c>
      <c r="J182" s="3">
        <v>53</v>
      </c>
      <c r="K182" t="s">
        <v>20</v>
      </c>
      <c r="L182" s="2">
        <f t="shared" si="6"/>
        <v>15.909999999999998</v>
      </c>
      <c r="M182" s="2">
        <f t="shared" si="7"/>
        <v>1734.7</v>
      </c>
      <c r="N182" s="2">
        <f t="shared" si="8"/>
        <v>875.05</v>
      </c>
    </row>
    <row r="183" spans="1:14">
      <c r="A183" t="s">
        <v>286</v>
      </c>
      <c r="B183" t="s">
        <v>72</v>
      </c>
      <c r="C183" t="s">
        <v>27</v>
      </c>
      <c r="D183" t="s">
        <v>100</v>
      </c>
      <c r="E183" s="2">
        <v>2.94</v>
      </c>
      <c r="F183" s="2">
        <v>5.73</v>
      </c>
      <c r="G183" s="3">
        <v>199</v>
      </c>
      <c r="H183" s="3">
        <v>149</v>
      </c>
      <c r="I183" s="3">
        <v>50</v>
      </c>
      <c r="J183" s="3">
        <v>41</v>
      </c>
      <c r="K183" t="s">
        <v>20</v>
      </c>
      <c r="L183" s="2">
        <f t="shared" si="6"/>
        <v>2.7900000000000005</v>
      </c>
      <c r="M183" s="2">
        <f t="shared" si="7"/>
        <v>853.7700000000001</v>
      </c>
      <c r="N183" s="2">
        <f t="shared" si="8"/>
        <v>415.71000000000009</v>
      </c>
    </row>
    <row r="184" spans="1:14">
      <c r="A184" t="s">
        <v>287</v>
      </c>
      <c r="B184" t="s">
        <v>128</v>
      </c>
      <c r="C184" t="s">
        <v>53</v>
      </c>
      <c r="D184" t="s">
        <v>48</v>
      </c>
      <c r="E184" s="2">
        <v>6.81</v>
      </c>
      <c r="F184" s="2">
        <v>14.82</v>
      </c>
      <c r="G184" s="3">
        <v>293</v>
      </c>
      <c r="H184" s="3">
        <v>190</v>
      </c>
      <c r="I184" s="3">
        <v>103</v>
      </c>
      <c r="J184" s="3">
        <v>60</v>
      </c>
      <c r="K184" t="s">
        <v>20</v>
      </c>
      <c r="L184" s="2">
        <f t="shared" si="6"/>
        <v>8.0100000000000016</v>
      </c>
      <c r="M184" s="2">
        <f t="shared" si="7"/>
        <v>2815.8</v>
      </c>
      <c r="N184" s="2">
        <f t="shared" si="8"/>
        <v>1521.9000000000003</v>
      </c>
    </row>
    <row r="185" spans="1:14">
      <c r="A185" t="s">
        <v>288</v>
      </c>
      <c r="B185" t="s">
        <v>35</v>
      </c>
      <c r="C185" t="s">
        <v>13</v>
      </c>
      <c r="D185" t="s">
        <v>14</v>
      </c>
      <c r="E185" s="2">
        <v>22.7</v>
      </c>
      <c r="F185" s="2">
        <v>43.04</v>
      </c>
      <c r="G185" s="3">
        <v>304</v>
      </c>
      <c r="H185" s="3">
        <v>162</v>
      </c>
      <c r="I185" s="3">
        <v>142</v>
      </c>
      <c r="J185" s="3">
        <v>63</v>
      </c>
      <c r="K185" t="s">
        <v>20</v>
      </c>
      <c r="L185" s="2">
        <f t="shared" si="6"/>
        <v>20.34</v>
      </c>
      <c r="M185" s="2">
        <f t="shared" si="7"/>
        <v>6972.48</v>
      </c>
      <c r="N185" s="2">
        <f t="shared" si="8"/>
        <v>3295.08</v>
      </c>
    </row>
    <row r="186" spans="1:14">
      <c r="A186" t="s">
        <v>289</v>
      </c>
      <c r="B186" t="s">
        <v>237</v>
      </c>
      <c r="C186" t="s">
        <v>47</v>
      </c>
      <c r="D186" t="s">
        <v>42</v>
      </c>
      <c r="E186" s="2">
        <v>7.38</v>
      </c>
      <c r="F186" s="2">
        <v>15.01</v>
      </c>
      <c r="G186" s="3">
        <v>219</v>
      </c>
      <c r="H186" s="3">
        <v>203</v>
      </c>
      <c r="I186" s="3">
        <v>16</v>
      </c>
      <c r="J186" s="3">
        <v>33</v>
      </c>
      <c r="K186" t="s">
        <v>15</v>
      </c>
      <c r="L186" s="2">
        <f t="shared" si="6"/>
        <v>7.63</v>
      </c>
      <c r="M186" s="2">
        <f t="shared" si="7"/>
        <v>3047.0299999999997</v>
      </c>
      <c r="N186" s="2">
        <f t="shared" si="8"/>
        <v>1548.8899999999999</v>
      </c>
    </row>
    <row r="187" spans="1:14">
      <c r="A187" t="s">
        <v>290</v>
      </c>
      <c r="B187" t="s">
        <v>104</v>
      </c>
      <c r="C187" t="s">
        <v>33</v>
      </c>
      <c r="D187" t="s">
        <v>24</v>
      </c>
      <c r="E187" s="2">
        <v>6.43</v>
      </c>
      <c r="F187" s="2">
        <v>8.6999999999999993</v>
      </c>
      <c r="G187" s="3">
        <v>109</v>
      </c>
      <c r="H187" s="3">
        <v>18</v>
      </c>
      <c r="I187" s="3">
        <v>91</v>
      </c>
      <c r="J187" s="3">
        <v>23</v>
      </c>
      <c r="K187" t="s">
        <v>20</v>
      </c>
      <c r="L187" s="2">
        <f t="shared" si="6"/>
        <v>2.2699999999999996</v>
      </c>
      <c r="M187" s="2">
        <f t="shared" si="7"/>
        <v>156.6</v>
      </c>
      <c r="N187" s="2">
        <f t="shared" si="8"/>
        <v>40.859999999999992</v>
      </c>
    </row>
    <row r="188" spans="1:14">
      <c r="A188" t="s">
        <v>291</v>
      </c>
      <c r="B188" t="s">
        <v>227</v>
      </c>
      <c r="C188" t="s">
        <v>27</v>
      </c>
      <c r="D188" t="s">
        <v>14</v>
      </c>
      <c r="E188" s="2">
        <v>12.94</v>
      </c>
      <c r="F188" s="2">
        <v>23.62</v>
      </c>
      <c r="G188" s="3">
        <v>477</v>
      </c>
      <c r="H188" s="3">
        <v>310</v>
      </c>
      <c r="I188" s="3">
        <v>167</v>
      </c>
      <c r="J188" s="3">
        <v>101</v>
      </c>
      <c r="K188" t="s">
        <v>20</v>
      </c>
      <c r="L188" s="2">
        <f t="shared" si="6"/>
        <v>10.680000000000001</v>
      </c>
      <c r="M188" s="2">
        <f t="shared" si="7"/>
        <v>7322.2000000000007</v>
      </c>
      <c r="N188" s="2">
        <f t="shared" si="8"/>
        <v>3310.8000000000006</v>
      </c>
    </row>
    <row r="189" spans="1:14">
      <c r="A189" t="s">
        <v>292</v>
      </c>
      <c r="B189" t="s">
        <v>169</v>
      </c>
      <c r="C189" t="s">
        <v>53</v>
      </c>
      <c r="D189" t="s">
        <v>24</v>
      </c>
      <c r="E189" s="2">
        <v>32.11</v>
      </c>
      <c r="F189" s="2">
        <v>54.76</v>
      </c>
      <c r="G189" s="3">
        <v>235</v>
      </c>
      <c r="H189" s="3">
        <v>117</v>
      </c>
      <c r="I189" s="3">
        <v>118</v>
      </c>
      <c r="J189" s="3">
        <v>48</v>
      </c>
      <c r="K189" t="s">
        <v>20</v>
      </c>
      <c r="L189" s="2">
        <f t="shared" si="6"/>
        <v>22.65</v>
      </c>
      <c r="M189" s="2">
        <f t="shared" si="7"/>
        <v>6406.92</v>
      </c>
      <c r="N189" s="2">
        <f t="shared" si="8"/>
        <v>2650.0499999999997</v>
      </c>
    </row>
    <row r="190" spans="1:14">
      <c r="A190" t="s">
        <v>293</v>
      </c>
      <c r="B190" t="s">
        <v>60</v>
      </c>
      <c r="C190" t="s">
        <v>47</v>
      </c>
      <c r="D190" t="s">
        <v>77</v>
      </c>
      <c r="E190" s="2">
        <v>14.65</v>
      </c>
      <c r="F190" s="2">
        <v>21.44</v>
      </c>
      <c r="G190" s="3">
        <v>466</v>
      </c>
      <c r="H190" s="3">
        <v>164</v>
      </c>
      <c r="I190" s="3">
        <v>302</v>
      </c>
      <c r="J190" s="3">
        <v>107</v>
      </c>
      <c r="K190" t="s">
        <v>20</v>
      </c>
      <c r="L190" s="2">
        <f t="shared" si="6"/>
        <v>6.7900000000000009</v>
      </c>
      <c r="M190" s="2">
        <f t="shared" si="7"/>
        <v>3516.1600000000003</v>
      </c>
      <c r="N190" s="2">
        <f t="shared" si="8"/>
        <v>1113.5600000000002</v>
      </c>
    </row>
    <row r="191" spans="1:14">
      <c r="A191" t="s">
        <v>294</v>
      </c>
      <c r="B191" t="s">
        <v>251</v>
      </c>
      <c r="C191" t="s">
        <v>13</v>
      </c>
      <c r="D191" t="s">
        <v>48</v>
      </c>
      <c r="E191" s="2">
        <v>2.76</v>
      </c>
      <c r="F191" s="2">
        <v>5.29</v>
      </c>
      <c r="G191" s="3">
        <v>66</v>
      </c>
      <c r="H191" s="3">
        <v>43</v>
      </c>
      <c r="I191" s="3">
        <v>23</v>
      </c>
      <c r="J191" s="3">
        <v>13</v>
      </c>
      <c r="K191" t="s">
        <v>20</v>
      </c>
      <c r="L191" s="2">
        <f t="shared" si="6"/>
        <v>2.5300000000000002</v>
      </c>
      <c r="M191" s="2">
        <f t="shared" si="7"/>
        <v>227.47</v>
      </c>
      <c r="N191" s="2">
        <f t="shared" si="8"/>
        <v>108.79</v>
      </c>
    </row>
    <row r="192" spans="1:14">
      <c r="A192" t="s">
        <v>295</v>
      </c>
      <c r="B192" t="s">
        <v>183</v>
      </c>
      <c r="C192" t="s">
        <v>53</v>
      </c>
      <c r="D192" t="s">
        <v>100</v>
      </c>
      <c r="E192" s="2">
        <v>22.03</v>
      </c>
      <c r="F192" s="2">
        <v>38</v>
      </c>
      <c r="G192" s="3">
        <v>43</v>
      </c>
      <c r="H192" s="3">
        <v>21</v>
      </c>
      <c r="I192" s="3">
        <v>22</v>
      </c>
      <c r="J192" s="3">
        <v>10</v>
      </c>
      <c r="K192" t="s">
        <v>20</v>
      </c>
      <c r="L192" s="2">
        <f t="shared" si="6"/>
        <v>15.969999999999999</v>
      </c>
      <c r="M192" s="2">
        <f t="shared" si="7"/>
        <v>798</v>
      </c>
      <c r="N192" s="2">
        <f t="shared" si="8"/>
        <v>335.37</v>
      </c>
    </row>
    <row r="193" spans="1:14">
      <c r="A193" t="s">
        <v>296</v>
      </c>
      <c r="B193" t="s">
        <v>131</v>
      </c>
      <c r="C193" t="s">
        <v>88</v>
      </c>
      <c r="D193" t="s">
        <v>28</v>
      </c>
      <c r="E193" s="2">
        <v>73.260000000000005</v>
      </c>
      <c r="F193" s="2">
        <v>109.44</v>
      </c>
      <c r="G193" s="3">
        <v>180</v>
      </c>
      <c r="H193" s="3">
        <v>85</v>
      </c>
      <c r="I193" s="3">
        <v>95</v>
      </c>
      <c r="J193" s="3">
        <v>19</v>
      </c>
      <c r="K193" t="s">
        <v>20</v>
      </c>
      <c r="L193" s="2">
        <f t="shared" si="6"/>
        <v>36.179999999999993</v>
      </c>
      <c r="M193" s="2">
        <f t="shared" si="7"/>
        <v>9302.4</v>
      </c>
      <c r="N193" s="2">
        <f t="shared" si="8"/>
        <v>3075.2999999999993</v>
      </c>
    </row>
    <row r="194" spans="1:14">
      <c r="A194" t="s">
        <v>297</v>
      </c>
      <c r="B194" t="s">
        <v>12</v>
      </c>
      <c r="C194" t="s">
        <v>13</v>
      </c>
      <c r="D194" t="s">
        <v>100</v>
      </c>
      <c r="E194" s="2">
        <v>7.36</v>
      </c>
      <c r="F194" s="2">
        <v>13.46</v>
      </c>
      <c r="G194" s="3">
        <v>34</v>
      </c>
      <c r="H194" s="3">
        <v>14</v>
      </c>
      <c r="I194" s="3">
        <v>20</v>
      </c>
      <c r="J194" s="3">
        <v>7</v>
      </c>
      <c r="K194" t="s">
        <v>20</v>
      </c>
      <c r="L194" s="2">
        <f t="shared" si="6"/>
        <v>6.1000000000000005</v>
      </c>
      <c r="M194" s="2">
        <f t="shared" si="7"/>
        <v>188.44</v>
      </c>
      <c r="N194" s="2">
        <f t="shared" si="8"/>
        <v>85.4</v>
      </c>
    </row>
    <row r="195" spans="1:14">
      <c r="A195" t="s">
        <v>298</v>
      </c>
      <c r="B195" t="s">
        <v>299</v>
      </c>
      <c r="C195" t="s">
        <v>13</v>
      </c>
      <c r="D195" t="s">
        <v>28</v>
      </c>
      <c r="E195" s="2">
        <v>7.36</v>
      </c>
      <c r="F195" s="2">
        <v>12.43</v>
      </c>
      <c r="G195" s="3">
        <v>458</v>
      </c>
      <c r="H195" s="3">
        <v>140</v>
      </c>
      <c r="I195" s="3">
        <v>318</v>
      </c>
      <c r="J195" s="3">
        <v>88</v>
      </c>
      <c r="K195" t="s">
        <v>20</v>
      </c>
      <c r="L195" s="2">
        <f t="shared" ref="L195:L258" si="9">F195-E195</f>
        <v>5.0699999999999994</v>
      </c>
      <c r="M195" s="2">
        <f t="shared" ref="M195:M258" si="10">H195*F195</f>
        <v>1740.2</v>
      </c>
      <c r="N195" s="2">
        <f t="shared" ref="N195:N258" si="11">H195*L195</f>
        <v>709.8</v>
      </c>
    </row>
    <row r="196" spans="1:14">
      <c r="A196" t="s">
        <v>300</v>
      </c>
      <c r="B196" t="s">
        <v>207</v>
      </c>
      <c r="C196" t="s">
        <v>88</v>
      </c>
      <c r="D196" t="s">
        <v>28</v>
      </c>
      <c r="E196" s="2">
        <v>45.76</v>
      </c>
      <c r="F196" s="2">
        <v>69.53</v>
      </c>
      <c r="G196" s="3">
        <v>343</v>
      </c>
      <c r="H196" s="3">
        <v>292</v>
      </c>
      <c r="I196" s="3">
        <v>51</v>
      </c>
      <c r="J196" s="3">
        <v>85</v>
      </c>
      <c r="K196" t="s">
        <v>15</v>
      </c>
      <c r="L196" s="2">
        <f t="shared" si="9"/>
        <v>23.770000000000003</v>
      </c>
      <c r="M196" s="2">
        <f t="shared" si="10"/>
        <v>20302.760000000002</v>
      </c>
      <c r="N196" s="2">
        <f t="shared" si="11"/>
        <v>6940.8400000000011</v>
      </c>
    </row>
    <row r="197" spans="1:14">
      <c r="A197" t="s">
        <v>301</v>
      </c>
      <c r="B197" t="s">
        <v>52</v>
      </c>
      <c r="C197" t="s">
        <v>53</v>
      </c>
      <c r="D197" t="s">
        <v>77</v>
      </c>
      <c r="E197" s="2">
        <v>23.41</v>
      </c>
      <c r="F197" s="2">
        <v>50.61</v>
      </c>
      <c r="G197" s="3">
        <v>114</v>
      </c>
      <c r="H197" s="3">
        <v>99</v>
      </c>
      <c r="I197" s="3">
        <v>15</v>
      </c>
      <c r="J197" s="3">
        <v>18</v>
      </c>
      <c r="K197" t="s">
        <v>15</v>
      </c>
      <c r="L197" s="2">
        <f t="shared" si="9"/>
        <v>27.2</v>
      </c>
      <c r="M197" s="2">
        <f t="shared" si="10"/>
        <v>5010.3900000000003</v>
      </c>
      <c r="N197" s="2">
        <f t="shared" si="11"/>
        <v>2692.7999999999997</v>
      </c>
    </row>
    <row r="198" spans="1:14">
      <c r="A198" t="s">
        <v>302</v>
      </c>
      <c r="B198" t="s">
        <v>135</v>
      </c>
      <c r="C198" t="s">
        <v>18</v>
      </c>
      <c r="D198" t="s">
        <v>54</v>
      </c>
      <c r="E198" s="2">
        <v>16.940000000000001</v>
      </c>
      <c r="F198" s="2">
        <v>22.83</v>
      </c>
      <c r="G198" s="3">
        <v>460</v>
      </c>
      <c r="H198" s="3">
        <v>67</v>
      </c>
      <c r="I198" s="3">
        <v>393</v>
      </c>
      <c r="J198" s="3">
        <v>97</v>
      </c>
      <c r="K198" t="s">
        <v>20</v>
      </c>
      <c r="L198" s="2">
        <f t="shared" si="9"/>
        <v>5.889999999999997</v>
      </c>
      <c r="M198" s="2">
        <f t="shared" si="10"/>
        <v>1529.61</v>
      </c>
      <c r="N198" s="2">
        <f t="shared" si="11"/>
        <v>394.62999999999982</v>
      </c>
    </row>
    <row r="199" spans="1:14">
      <c r="A199" t="s">
        <v>303</v>
      </c>
      <c r="B199" t="s">
        <v>229</v>
      </c>
      <c r="C199" t="s">
        <v>88</v>
      </c>
      <c r="D199" t="s">
        <v>24</v>
      </c>
      <c r="E199" s="2">
        <v>55.07</v>
      </c>
      <c r="F199" s="2">
        <v>119.6</v>
      </c>
      <c r="G199" s="3">
        <v>124</v>
      </c>
      <c r="H199" s="3">
        <v>69</v>
      </c>
      <c r="I199" s="3">
        <v>55</v>
      </c>
      <c r="J199" s="3">
        <v>15</v>
      </c>
      <c r="K199" t="s">
        <v>20</v>
      </c>
      <c r="L199" s="2">
        <f t="shared" si="9"/>
        <v>64.53</v>
      </c>
      <c r="M199" s="2">
        <f t="shared" si="10"/>
        <v>8252.4</v>
      </c>
      <c r="N199" s="2">
        <f t="shared" si="11"/>
        <v>4452.57</v>
      </c>
    </row>
    <row r="200" spans="1:14">
      <c r="A200" t="s">
        <v>304</v>
      </c>
      <c r="B200" t="s">
        <v>119</v>
      </c>
      <c r="C200" t="s">
        <v>33</v>
      </c>
      <c r="D200" t="s">
        <v>42</v>
      </c>
      <c r="E200" s="2">
        <v>3.04</v>
      </c>
      <c r="F200" s="2">
        <v>6.23</v>
      </c>
      <c r="G200" s="3">
        <v>455</v>
      </c>
      <c r="H200" s="3">
        <v>114</v>
      </c>
      <c r="I200" s="3">
        <v>341</v>
      </c>
      <c r="J200" s="3">
        <v>102</v>
      </c>
      <c r="K200" t="s">
        <v>20</v>
      </c>
      <c r="L200" s="2">
        <f t="shared" si="9"/>
        <v>3.1900000000000004</v>
      </c>
      <c r="M200" s="2">
        <f t="shared" si="10"/>
        <v>710.22</v>
      </c>
      <c r="N200" s="2">
        <f t="shared" si="11"/>
        <v>363.66</v>
      </c>
    </row>
    <row r="201" spans="1:14">
      <c r="A201" t="s">
        <v>305</v>
      </c>
      <c r="B201" t="s">
        <v>272</v>
      </c>
      <c r="C201" t="s">
        <v>47</v>
      </c>
      <c r="D201" t="s">
        <v>39</v>
      </c>
      <c r="E201" s="2">
        <v>1.36</v>
      </c>
      <c r="F201" s="2">
        <v>2.39</v>
      </c>
      <c r="G201" s="3">
        <v>378</v>
      </c>
      <c r="H201" s="3">
        <v>133</v>
      </c>
      <c r="I201" s="3">
        <v>245</v>
      </c>
      <c r="J201" s="3">
        <v>87</v>
      </c>
      <c r="K201" t="s">
        <v>20</v>
      </c>
      <c r="L201" s="2">
        <f t="shared" si="9"/>
        <v>1.03</v>
      </c>
      <c r="M201" s="2">
        <f t="shared" si="10"/>
        <v>317.87</v>
      </c>
      <c r="N201" s="2">
        <f t="shared" si="11"/>
        <v>136.99</v>
      </c>
    </row>
    <row r="202" spans="1:14">
      <c r="A202" t="s">
        <v>306</v>
      </c>
      <c r="B202" t="s">
        <v>119</v>
      </c>
      <c r="C202" t="s">
        <v>33</v>
      </c>
      <c r="D202" t="s">
        <v>14</v>
      </c>
      <c r="E202" s="2">
        <v>4.05</v>
      </c>
      <c r="F202" s="2">
        <v>8.64</v>
      </c>
      <c r="G202" s="3">
        <v>45</v>
      </c>
      <c r="H202" s="3">
        <v>23</v>
      </c>
      <c r="I202" s="3">
        <v>22</v>
      </c>
      <c r="J202" s="3">
        <v>5</v>
      </c>
      <c r="K202" t="s">
        <v>20</v>
      </c>
      <c r="L202" s="2">
        <f t="shared" si="9"/>
        <v>4.5900000000000007</v>
      </c>
      <c r="M202" s="2">
        <f t="shared" si="10"/>
        <v>198.72000000000003</v>
      </c>
      <c r="N202" s="2">
        <f t="shared" si="11"/>
        <v>105.57000000000002</v>
      </c>
    </row>
    <row r="203" spans="1:14">
      <c r="A203" t="s">
        <v>307</v>
      </c>
      <c r="B203" t="s">
        <v>128</v>
      </c>
      <c r="C203" t="s">
        <v>53</v>
      </c>
      <c r="D203" t="s">
        <v>24</v>
      </c>
      <c r="E203" s="2">
        <v>13.72</v>
      </c>
      <c r="F203" s="2">
        <v>27.54</v>
      </c>
      <c r="G203" s="3">
        <v>188</v>
      </c>
      <c r="H203" s="3">
        <v>52</v>
      </c>
      <c r="I203" s="3">
        <v>136</v>
      </c>
      <c r="J203" s="3">
        <v>28</v>
      </c>
      <c r="K203" t="s">
        <v>20</v>
      </c>
      <c r="L203" s="2">
        <f t="shared" si="9"/>
        <v>13.819999999999999</v>
      </c>
      <c r="M203" s="2">
        <f t="shared" si="10"/>
        <v>1432.08</v>
      </c>
      <c r="N203" s="2">
        <f t="shared" si="11"/>
        <v>718.63999999999987</v>
      </c>
    </row>
    <row r="204" spans="1:14">
      <c r="A204" t="s">
        <v>308</v>
      </c>
      <c r="B204" t="s">
        <v>259</v>
      </c>
      <c r="C204" t="s">
        <v>53</v>
      </c>
      <c r="D204" t="s">
        <v>19</v>
      </c>
      <c r="E204" s="2">
        <v>31.92</v>
      </c>
      <c r="F204" s="2">
        <v>55.96</v>
      </c>
      <c r="G204" s="3">
        <v>66</v>
      </c>
      <c r="H204" s="3">
        <v>9</v>
      </c>
      <c r="I204" s="3">
        <v>57</v>
      </c>
      <c r="J204" s="3">
        <v>7</v>
      </c>
      <c r="K204" t="s">
        <v>20</v>
      </c>
      <c r="L204" s="2">
        <f t="shared" si="9"/>
        <v>24.04</v>
      </c>
      <c r="M204" s="2">
        <f t="shared" si="10"/>
        <v>503.64</v>
      </c>
      <c r="N204" s="2">
        <f t="shared" si="11"/>
        <v>216.35999999999999</v>
      </c>
    </row>
    <row r="205" spans="1:14">
      <c r="A205" t="s">
        <v>309</v>
      </c>
      <c r="B205" t="s">
        <v>186</v>
      </c>
      <c r="C205" t="s">
        <v>13</v>
      </c>
      <c r="D205" t="s">
        <v>28</v>
      </c>
      <c r="E205" s="2">
        <v>12.14</v>
      </c>
      <c r="F205" s="2">
        <v>21.42</v>
      </c>
      <c r="G205" s="3">
        <v>241</v>
      </c>
      <c r="H205" s="3">
        <v>227</v>
      </c>
      <c r="I205" s="3">
        <v>14</v>
      </c>
      <c r="J205" s="3">
        <v>53</v>
      </c>
      <c r="K205" t="s">
        <v>15</v>
      </c>
      <c r="L205" s="2">
        <f t="shared" si="9"/>
        <v>9.2800000000000011</v>
      </c>
      <c r="M205" s="2">
        <f t="shared" si="10"/>
        <v>4862.34</v>
      </c>
      <c r="N205" s="2">
        <f t="shared" si="11"/>
        <v>2106.5600000000004</v>
      </c>
    </row>
    <row r="206" spans="1:14">
      <c r="A206" t="s">
        <v>310</v>
      </c>
      <c r="B206" t="s">
        <v>92</v>
      </c>
      <c r="C206" t="s">
        <v>27</v>
      </c>
      <c r="D206" t="s">
        <v>100</v>
      </c>
      <c r="E206" s="2">
        <v>13.63</v>
      </c>
      <c r="F206" s="2">
        <v>28.57</v>
      </c>
      <c r="G206" s="3">
        <v>102</v>
      </c>
      <c r="H206" s="3">
        <v>46</v>
      </c>
      <c r="I206" s="3">
        <v>56</v>
      </c>
      <c r="J206" s="3">
        <v>14</v>
      </c>
      <c r="K206" t="s">
        <v>20</v>
      </c>
      <c r="L206" s="2">
        <f t="shared" si="9"/>
        <v>14.94</v>
      </c>
      <c r="M206" s="2">
        <f t="shared" si="10"/>
        <v>1314.22</v>
      </c>
      <c r="N206" s="2">
        <f t="shared" si="11"/>
        <v>687.24</v>
      </c>
    </row>
    <row r="207" spans="1:14">
      <c r="A207" t="s">
        <v>311</v>
      </c>
      <c r="B207" t="s">
        <v>66</v>
      </c>
      <c r="C207" t="s">
        <v>18</v>
      </c>
      <c r="D207" t="s">
        <v>24</v>
      </c>
      <c r="E207" s="2">
        <v>2.42</v>
      </c>
      <c r="F207" s="2">
        <v>3.59</v>
      </c>
      <c r="G207" s="3">
        <v>224</v>
      </c>
      <c r="H207" s="3">
        <v>186</v>
      </c>
      <c r="I207" s="3">
        <v>38</v>
      </c>
      <c r="J207" s="3">
        <v>39</v>
      </c>
      <c r="K207" t="s">
        <v>15</v>
      </c>
      <c r="L207" s="2">
        <f t="shared" si="9"/>
        <v>1.17</v>
      </c>
      <c r="M207" s="2">
        <f t="shared" si="10"/>
        <v>667.74</v>
      </c>
      <c r="N207" s="2">
        <f t="shared" si="11"/>
        <v>217.61999999999998</v>
      </c>
    </row>
    <row r="208" spans="1:14">
      <c r="A208" t="s">
        <v>312</v>
      </c>
      <c r="B208" t="s">
        <v>66</v>
      </c>
      <c r="C208" t="s">
        <v>18</v>
      </c>
      <c r="D208" t="s">
        <v>14</v>
      </c>
      <c r="E208" s="2">
        <v>15.63</v>
      </c>
      <c r="F208" s="2">
        <v>32.200000000000003</v>
      </c>
      <c r="G208" s="3">
        <v>432</v>
      </c>
      <c r="H208" s="3">
        <v>281</v>
      </c>
      <c r="I208" s="3">
        <v>151</v>
      </c>
      <c r="J208" s="3">
        <v>54</v>
      </c>
      <c r="K208" t="s">
        <v>20</v>
      </c>
      <c r="L208" s="2">
        <f t="shared" si="9"/>
        <v>16.57</v>
      </c>
      <c r="M208" s="2">
        <f t="shared" si="10"/>
        <v>9048.2000000000007</v>
      </c>
      <c r="N208" s="2">
        <f t="shared" si="11"/>
        <v>4656.17</v>
      </c>
    </row>
    <row r="209" spans="1:14">
      <c r="A209" t="s">
        <v>313</v>
      </c>
      <c r="B209" t="s">
        <v>35</v>
      </c>
      <c r="C209" t="s">
        <v>13</v>
      </c>
      <c r="D209" t="s">
        <v>24</v>
      </c>
      <c r="E209" s="2">
        <v>25.19</v>
      </c>
      <c r="F209" s="2">
        <v>43.52</v>
      </c>
      <c r="G209" s="3">
        <v>299</v>
      </c>
      <c r="H209" s="3">
        <v>115</v>
      </c>
      <c r="I209" s="3">
        <v>184</v>
      </c>
      <c r="J209" s="3">
        <v>34</v>
      </c>
      <c r="K209" t="s">
        <v>20</v>
      </c>
      <c r="L209" s="2">
        <f t="shared" si="9"/>
        <v>18.330000000000002</v>
      </c>
      <c r="M209" s="2">
        <f t="shared" si="10"/>
        <v>5004.8</v>
      </c>
      <c r="N209" s="2">
        <f t="shared" si="11"/>
        <v>2107.9500000000003</v>
      </c>
    </row>
    <row r="210" spans="1:14">
      <c r="A210" t="s">
        <v>314</v>
      </c>
      <c r="B210" t="s">
        <v>52</v>
      </c>
      <c r="C210" t="s">
        <v>53</v>
      </c>
      <c r="D210" t="s">
        <v>54</v>
      </c>
      <c r="E210" s="2">
        <v>9.0500000000000007</v>
      </c>
      <c r="F210" s="2">
        <v>19.350000000000001</v>
      </c>
      <c r="G210" s="3">
        <v>147</v>
      </c>
      <c r="H210" s="3">
        <v>134</v>
      </c>
      <c r="I210" s="3">
        <v>13</v>
      </c>
      <c r="J210" s="3">
        <v>24</v>
      </c>
      <c r="K210" t="s">
        <v>15</v>
      </c>
      <c r="L210" s="2">
        <f t="shared" si="9"/>
        <v>10.3</v>
      </c>
      <c r="M210" s="2">
        <f t="shared" si="10"/>
        <v>2592.9</v>
      </c>
      <c r="N210" s="2">
        <f t="shared" si="11"/>
        <v>1380.2</v>
      </c>
    </row>
    <row r="211" spans="1:14">
      <c r="A211" t="s">
        <v>315</v>
      </c>
      <c r="B211" t="s">
        <v>97</v>
      </c>
      <c r="C211" t="s">
        <v>53</v>
      </c>
      <c r="D211" t="s">
        <v>100</v>
      </c>
      <c r="E211" s="2">
        <v>6.24</v>
      </c>
      <c r="F211" s="2">
        <v>10.220000000000001</v>
      </c>
      <c r="G211" s="3">
        <v>170</v>
      </c>
      <c r="H211" s="3">
        <v>25</v>
      </c>
      <c r="I211" s="3">
        <v>145</v>
      </c>
      <c r="J211" s="3">
        <v>28</v>
      </c>
      <c r="K211" t="s">
        <v>20</v>
      </c>
      <c r="L211" s="2">
        <f t="shared" si="9"/>
        <v>3.9800000000000004</v>
      </c>
      <c r="M211" s="2">
        <f t="shared" si="10"/>
        <v>255.50000000000003</v>
      </c>
      <c r="N211" s="2">
        <f t="shared" si="11"/>
        <v>99.500000000000014</v>
      </c>
    </row>
    <row r="212" spans="1:14">
      <c r="A212" t="s">
        <v>316</v>
      </c>
      <c r="B212" t="s">
        <v>92</v>
      </c>
      <c r="C212" t="s">
        <v>27</v>
      </c>
      <c r="D212" t="s">
        <v>14</v>
      </c>
      <c r="E212" s="2">
        <v>13.6</v>
      </c>
      <c r="F212" s="2">
        <v>27.16</v>
      </c>
      <c r="G212" s="3">
        <v>54</v>
      </c>
      <c r="H212" s="3">
        <v>33</v>
      </c>
      <c r="I212" s="3">
        <v>21</v>
      </c>
      <c r="J212" s="3">
        <v>10</v>
      </c>
      <c r="K212" t="s">
        <v>20</v>
      </c>
      <c r="L212" s="2">
        <f t="shared" si="9"/>
        <v>13.56</v>
      </c>
      <c r="M212" s="2">
        <f t="shared" si="10"/>
        <v>896.28</v>
      </c>
      <c r="N212" s="2">
        <f t="shared" si="11"/>
        <v>447.48</v>
      </c>
    </row>
    <row r="213" spans="1:14">
      <c r="A213" t="s">
        <v>317</v>
      </c>
      <c r="B213" t="s">
        <v>119</v>
      </c>
      <c r="C213" t="s">
        <v>33</v>
      </c>
      <c r="D213" t="s">
        <v>39</v>
      </c>
      <c r="E213" s="2">
        <v>10.79</v>
      </c>
      <c r="F213" s="2">
        <v>20.77</v>
      </c>
      <c r="G213" s="3">
        <v>76</v>
      </c>
      <c r="H213" s="3">
        <v>47</v>
      </c>
      <c r="I213" s="3">
        <v>29</v>
      </c>
      <c r="J213" s="3">
        <v>18</v>
      </c>
      <c r="K213" t="s">
        <v>20</v>
      </c>
      <c r="L213" s="2">
        <f t="shared" si="9"/>
        <v>9.98</v>
      </c>
      <c r="M213" s="2">
        <f t="shared" si="10"/>
        <v>976.18999999999994</v>
      </c>
      <c r="N213" s="2">
        <f t="shared" si="11"/>
        <v>469.06</v>
      </c>
    </row>
    <row r="214" spans="1:14">
      <c r="A214" t="s">
        <v>318</v>
      </c>
      <c r="B214" t="s">
        <v>87</v>
      </c>
      <c r="C214" t="s">
        <v>88</v>
      </c>
      <c r="D214" t="s">
        <v>48</v>
      </c>
      <c r="E214" s="2">
        <v>43.85</v>
      </c>
      <c r="F214" s="2">
        <v>72.8</v>
      </c>
      <c r="G214" s="3">
        <v>308</v>
      </c>
      <c r="H214" s="3">
        <v>212</v>
      </c>
      <c r="I214" s="3">
        <v>96</v>
      </c>
      <c r="J214" s="3">
        <v>66</v>
      </c>
      <c r="K214" t="s">
        <v>20</v>
      </c>
      <c r="L214" s="2">
        <f t="shared" si="9"/>
        <v>28.949999999999996</v>
      </c>
      <c r="M214" s="2">
        <f t="shared" si="10"/>
        <v>15433.599999999999</v>
      </c>
      <c r="N214" s="2">
        <f t="shared" si="11"/>
        <v>6137.3999999999987</v>
      </c>
    </row>
    <row r="215" spans="1:14">
      <c r="A215" t="s">
        <v>319</v>
      </c>
      <c r="B215" t="s">
        <v>186</v>
      </c>
      <c r="C215" t="s">
        <v>13</v>
      </c>
      <c r="D215" t="s">
        <v>42</v>
      </c>
      <c r="E215" s="2">
        <v>17.66</v>
      </c>
      <c r="F215" s="2">
        <v>27.3</v>
      </c>
      <c r="G215" s="3">
        <v>335</v>
      </c>
      <c r="H215" s="3">
        <v>126</v>
      </c>
      <c r="I215" s="3">
        <v>209</v>
      </c>
      <c r="J215" s="3">
        <v>48</v>
      </c>
      <c r="K215" t="s">
        <v>20</v>
      </c>
      <c r="L215" s="2">
        <f t="shared" si="9"/>
        <v>9.64</v>
      </c>
      <c r="M215" s="2">
        <f t="shared" si="10"/>
        <v>3439.8</v>
      </c>
      <c r="N215" s="2">
        <f t="shared" si="11"/>
        <v>1214.6400000000001</v>
      </c>
    </row>
    <row r="216" spans="1:14">
      <c r="A216" t="s">
        <v>320</v>
      </c>
      <c r="B216" t="s">
        <v>216</v>
      </c>
      <c r="C216" t="s">
        <v>23</v>
      </c>
      <c r="D216" t="s">
        <v>24</v>
      </c>
      <c r="E216" s="2">
        <v>11.9</v>
      </c>
      <c r="F216" s="2">
        <v>21.26</v>
      </c>
      <c r="G216" s="3">
        <v>441</v>
      </c>
      <c r="H216" s="3">
        <v>412</v>
      </c>
      <c r="I216" s="3">
        <v>29</v>
      </c>
      <c r="J216" s="3">
        <v>97</v>
      </c>
      <c r="K216" t="s">
        <v>15</v>
      </c>
      <c r="L216" s="2">
        <f t="shared" si="9"/>
        <v>9.3600000000000012</v>
      </c>
      <c r="M216" s="2">
        <f t="shared" si="10"/>
        <v>8759.1200000000008</v>
      </c>
      <c r="N216" s="2">
        <f t="shared" si="11"/>
        <v>3856.3200000000006</v>
      </c>
    </row>
    <row r="217" spans="1:14">
      <c r="A217" t="s">
        <v>321</v>
      </c>
      <c r="B217" t="s">
        <v>35</v>
      </c>
      <c r="C217" t="s">
        <v>13</v>
      </c>
      <c r="D217" t="s">
        <v>19</v>
      </c>
      <c r="E217" s="2">
        <v>5.35</v>
      </c>
      <c r="F217" s="2">
        <v>8.48</v>
      </c>
      <c r="G217" s="3">
        <v>423</v>
      </c>
      <c r="H217" s="3">
        <v>69</v>
      </c>
      <c r="I217" s="3">
        <v>354</v>
      </c>
      <c r="J217" s="3">
        <v>101</v>
      </c>
      <c r="K217" t="s">
        <v>20</v>
      </c>
      <c r="L217" s="2">
        <f t="shared" si="9"/>
        <v>3.1300000000000008</v>
      </c>
      <c r="M217" s="2">
        <f t="shared" si="10"/>
        <v>585.12</v>
      </c>
      <c r="N217" s="2">
        <f t="shared" si="11"/>
        <v>215.97000000000006</v>
      </c>
    </row>
    <row r="218" spans="1:14">
      <c r="A218" t="s">
        <v>322</v>
      </c>
      <c r="B218" t="s">
        <v>323</v>
      </c>
      <c r="C218" t="s">
        <v>27</v>
      </c>
      <c r="D218" t="s">
        <v>19</v>
      </c>
      <c r="E218" s="2">
        <v>14.17</v>
      </c>
      <c r="F218" s="2">
        <v>30.55</v>
      </c>
      <c r="G218" s="3">
        <v>356</v>
      </c>
      <c r="H218" s="3">
        <v>242</v>
      </c>
      <c r="I218" s="3">
        <v>114</v>
      </c>
      <c r="J218" s="3">
        <v>50</v>
      </c>
      <c r="K218" t="s">
        <v>20</v>
      </c>
      <c r="L218" s="2">
        <f t="shared" si="9"/>
        <v>16.380000000000003</v>
      </c>
      <c r="M218" s="2">
        <f t="shared" si="10"/>
        <v>7393.1</v>
      </c>
      <c r="N218" s="2">
        <f t="shared" si="11"/>
        <v>3963.9600000000005</v>
      </c>
    </row>
    <row r="219" spans="1:14">
      <c r="A219" t="s">
        <v>324</v>
      </c>
      <c r="B219" t="s">
        <v>149</v>
      </c>
      <c r="C219" t="s">
        <v>47</v>
      </c>
      <c r="D219" t="s">
        <v>42</v>
      </c>
      <c r="E219" s="2">
        <v>13.98</v>
      </c>
      <c r="F219" s="2">
        <v>27.04</v>
      </c>
      <c r="G219" s="3">
        <v>434</v>
      </c>
      <c r="H219" s="3">
        <v>88</v>
      </c>
      <c r="I219" s="3">
        <v>346</v>
      </c>
      <c r="J219" s="3">
        <v>84</v>
      </c>
      <c r="K219" t="s">
        <v>20</v>
      </c>
      <c r="L219" s="2">
        <f t="shared" si="9"/>
        <v>13.059999999999999</v>
      </c>
      <c r="M219" s="2">
        <f t="shared" si="10"/>
        <v>2379.52</v>
      </c>
      <c r="N219" s="2">
        <f t="shared" si="11"/>
        <v>1149.28</v>
      </c>
    </row>
    <row r="220" spans="1:14">
      <c r="A220" t="s">
        <v>325</v>
      </c>
      <c r="B220" t="s">
        <v>135</v>
      </c>
      <c r="C220" t="s">
        <v>18</v>
      </c>
      <c r="D220" t="s">
        <v>39</v>
      </c>
      <c r="E220" s="2">
        <v>12.6</v>
      </c>
      <c r="F220" s="2">
        <v>24.52</v>
      </c>
      <c r="G220" s="3">
        <v>351</v>
      </c>
      <c r="H220" s="3">
        <v>124</v>
      </c>
      <c r="I220" s="3">
        <v>227</v>
      </c>
      <c r="J220" s="3">
        <v>79</v>
      </c>
      <c r="K220" t="s">
        <v>20</v>
      </c>
      <c r="L220" s="2">
        <f t="shared" si="9"/>
        <v>11.92</v>
      </c>
      <c r="M220" s="2">
        <f t="shared" si="10"/>
        <v>3040.48</v>
      </c>
      <c r="N220" s="2">
        <f t="shared" si="11"/>
        <v>1478.08</v>
      </c>
    </row>
    <row r="221" spans="1:14">
      <c r="A221" t="s">
        <v>326</v>
      </c>
      <c r="B221" t="s">
        <v>81</v>
      </c>
      <c r="C221" t="s">
        <v>47</v>
      </c>
      <c r="D221" t="s">
        <v>42</v>
      </c>
      <c r="E221" s="2">
        <v>3.87</v>
      </c>
      <c r="F221" s="2">
        <v>6.11</v>
      </c>
      <c r="G221" s="3">
        <v>159</v>
      </c>
      <c r="H221" s="3">
        <v>138</v>
      </c>
      <c r="I221" s="3">
        <v>21</v>
      </c>
      <c r="J221" s="3">
        <v>17</v>
      </c>
      <c r="K221" t="s">
        <v>20</v>
      </c>
      <c r="L221" s="2">
        <f t="shared" si="9"/>
        <v>2.2400000000000002</v>
      </c>
      <c r="M221" s="2">
        <f t="shared" si="10"/>
        <v>843.18000000000006</v>
      </c>
      <c r="N221" s="2">
        <f t="shared" si="11"/>
        <v>309.12</v>
      </c>
    </row>
    <row r="222" spans="1:14">
      <c r="A222" t="s">
        <v>327</v>
      </c>
      <c r="B222" t="s">
        <v>94</v>
      </c>
      <c r="C222" t="s">
        <v>33</v>
      </c>
      <c r="D222" t="s">
        <v>42</v>
      </c>
      <c r="E222" s="2">
        <v>8.92</v>
      </c>
      <c r="F222" s="2">
        <v>16.2</v>
      </c>
      <c r="G222" s="3">
        <v>193</v>
      </c>
      <c r="H222" s="3">
        <v>88</v>
      </c>
      <c r="I222" s="3">
        <v>105</v>
      </c>
      <c r="J222" s="3">
        <v>43</v>
      </c>
      <c r="K222" t="s">
        <v>20</v>
      </c>
      <c r="L222" s="2">
        <f t="shared" si="9"/>
        <v>7.2799999999999994</v>
      </c>
      <c r="M222" s="2">
        <f t="shared" si="10"/>
        <v>1425.6</v>
      </c>
      <c r="N222" s="2">
        <f t="shared" si="11"/>
        <v>640.64</v>
      </c>
    </row>
    <row r="223" spans="1:14">
      <c r="A223" t="s">
        <v>328</v>
      </c>
      <c r="B223" t="s">
        <v>186</v>
      </c>
      <c r="C223" t="s">
        <v>13</v>
      </c>
      <c r="D223" t="s">
        <v>100</v>
      </c>
      <c r="E223" s="2">
        <v>22.08</v>
      </c>
      <c r="F223" s="2">
        <v>34.72</v>
      </c>
      <c r="G223" s="3">
        <v>69</v>
      </c>
      <c r="H223" s="3">
        <v>58</v>
      </c>
      <c r="I223" s="3">
        <v>11</v>
      </c>
      <c r="J223" s="3">
        <v>10</v>
      </c>
      <c r="K223" t="s">
        <v>20</v>
      </c>
      <c r="L223" s="2">
        <f t="shared" si="9"/>
        <v>12.64</v>
      </c>
      <c r="M223" s="2">
        <f t="shared" si="10"/>
        <v>2013.76</v>
      </c>
      <c r="N223" s="2">
        <f t="shared" si="11"/>
        <v>733.12</v>
      </c>
    </row>
    <row r="224" spans="1:14">
      <c r="A224" t="s">
        <v>329</v>
      </c>
      <c r="B224" t="s">
        <v>90</v>
      </c>
      <c r="C224" t="s">
        <v>88</v>
      </c>
      <c r="D224" t="s">
        <v>77</v>
      </c>
      <c r="E224" s="2">
        <v>49.63</v>
      </c>
      <c r="F224" s="2">
        <v>73.86</v>
      </c>
      <c r="G224" s="3">
        <v>107</v>
      </c>
      <c r="H224" s="3">
        <v>59</v>
      </c>
      <c r="I224" s="3">
        <v>48</v>
      </c>
      <c r="J224" s="3">
        <v>24</v>
      </c>
      <c r="K224" t="s">
        <v>20</v>
      </c>
      <c r="L224" s="2">
        <f t="shared" si="9"/>
        <v>24.229999999999997</v>
      </c>
      <c r="M224" s="2">
        <f t="shared" si="10"/>
        <v>4357.74</v>
      </c>
      <c r="N224" s="2">
        <f t="shared" si="11"/>
        <v>1429.5699999999997</v>
      </c>
    </row>
    <row r="225" spans="1:14">
      <c r="A225" t="s">
        <v>330</v>
      </c>
      <c r="B225" t="s">
        <v>30</v>
      </c>
      <c r="C225" t="s">
        <v>13</v>
      </c>
      <c r="D225" t="s">
        <v>19</v>
      </c>
      <c r="E225" s="2">
        <v>4.3099999999999996</v>
      </c>
      <c r="F225" s="2">
        <v>7.43</v>
      </c>
      <c r="G225" s="3">
        <v>390</v>
      </c>
      <c r="H225" s="3">
        <v>129</v>
      </c>
      <c r="I225" s="3">
        <v>261</v>
      </c>
      <c r="J225" s="3">
        <v>83</v>
      </c>
      <c r="K225" t="s">
        <v>20</v>
      </c>
      <c r="L225" s="2">
        <f t="shared" si="9"/>
        <v>3.12</v>
      </c>
      <c r="M225" s="2">
        <f t="shared" si="10"/>
        <v>958.46999999999991</v>
      </c>
      <c r="N225" s="2">
        <f t="shared" si="11"/>
        <v>402.48</v>
      </c>
    </row>
    <row r="226" spans="1:14">
      <c r="A226" t="s">
        <v>331</v>
      </c>
      <c r="B226" t="s">
        <v>216</v>
      </c>
      <c r="C226" t="s">
        <v>23</v>
      </c>
      <c r="D226" t="s">
        <v>100</v>
      </c>
      <c r="E226" s="2">
        <v>8.34</v>
      </c>
      <c r="F226" s="2">
        <v>15.23</v>
      </c>
      <c r="G226" s="3">
        <v>327</v>
      </c>
      <c r="H226" s="3">
        <v>269</v>
      </c>
      <c r="I226" s="3">
        <v>58</v>
      </c>
      <c r="J226" s="3">
        <v>45</v>
      </c>
      <c r="K226" t="s">
        <v>20</v>
      </c>
      <c r="L226" s="2">
        <f t="shared" si="9"/>
        <v>6.8900000000000006</v>
      </c>
      <c r="M226" s="2">
        <f t="shared" si="10"/>
        <v>4096.87</v>
      </c>
      <c r="N226" s="2">
        <f t="shared" si="11"/>
        <v>1853.41</v>
      </c>
    </row>
    <row r="227" spans="1:14">
      <c r="A227" t="s">
        <v>332</v>
      </c>
      <c r="B227" t="s">
        <v>92</v>
      </c>
      <c r="C227" t="s">
        <v>27</v>
      </c>
      <c r="D227" t="s">
        <v>24</v>
      </c>
      <c r="E227" s="2">
        <v>15.74</v>
      </c>
      <c r="F227" s="2">
        <v>27.96</v>
      </c>
      <c r="G227" s="3">
        <v>171</v>
      </c>
      <c r="H227" s="3">
        <v>157</v>
      </c>
      <c r="I227" s="3">
        <v>14</v>
      </c>
      <c r="J227" s="3">
        <v>40</v>
      </c>
      <c r="K227" t="s">
        <v>15</v>
      </c>
      <c r="L227" s="2">
        <f t="shared" si="9"/>
        <v>12.22</v>
      </c>
      <c r="M227" s="2">
        <f t="shared" si="10"/>
        <v>4389.72</v>
      </c>
      <c r="N227" s="2">
        <f t="shared" si="11"/>
        <v>1918.5400000000002</v>
      </c>
    </row>
    <row r="228" spans="1:14">
      <c r="A228" t="s">
        <v>333</v>
      </c>
      <c r="B228" t="s">
        <v>175</v>
      </c>
      <c r="C228" t="s">
        <v>88</v>
      </c>
      <c r="D228" t="s">
        <v>24</v>
      </c>
      <c r="E228" s="2">
        <v>57.8</v>
      </c>
      <c r="F228" s="2">
        <v>87.89</v>
      </c>
      <c r="G228" s="3">
        <v>163</v>
      </c>
      <c r="H228" s="3">
        <v>31</v>
      </c>
      <c r="I228" s="3">
        <v>132</v>
      </c>
      <c r="J228" s="3">
        <v>36</v>
      </c>
      <c r="K228" t="s">
        <v>20</v>
      </c>
      <c r="L228" s="2">
        <f t="shared" si="9"/>
        <v>30.090000000000003</v>
      </c>
      <c r="M228" s="2">
        <f t="shared" si="10"/>
        <v>2724.59</v>
      </c>
      <c r="N228" s="2">
        <f t="shared" si="11"/>
        <v>932.79000000000008</v>
      </c>
    </row>
    <row r="229" spans="1:14">
      <c r="A229" t="s">
        <v>334</v>
      </c>
      <c r="B229" t="s">
        <v>172</v>
      </c>
      <c r="C229" t="s">
        <v>18</v>
      </c>
      <c r="D229" t="s">
        <v>19</v>
      </c>
      <c r="E229" s="2">
        <v>13.64</v>
      </c>
      <c r="F229" s="2">
        <v>22.99</v>
      </c>
      <c r="G229" s="3">
        <v>191</v>
      </c>
      <c r="H229" s="3">
        <v>62</v>
      </c>
      <c r="I229" s="3">
        <v>129</v>
      </c>
      <c r="J229" s="3">
        <v>40</v>
      </c>
      <c r="K229" t="s">
        <v>20</v>
      </c>
      <c r="L229" s="2">
        <f t="shared" si="9"/>
        <v>9.3499999999999979</v>
      </c>
      <c r="M229" s="2">
        <f t="shared" si="10"/>
        <v>1425.3799999999999</v>
      </c>
      <c r="N229" s="2">
        <f t="shared" si="11"/>
        <v>579.69999999999982</v>
      </c>
    </row>
    <row r="230" spans="1:14">
      <c r="A230" t="s">
        <v>335</v>
      </c>
      <c r="B230" t="s">
        <v>32</v>
      </c>
      <c r="C230" t="s">
        <v>33</v>
      </c>
      <c r="D230" t="s">
        <v>42</v>
      </c>
      <c r="E230" s="2">
        <v>2.42</v>
      </c>
      <c r="F230" s="2">
        <v>4.5199999999999996</v>
      </c>
      <c r="G230" s="3">
        <v>434</v>
      </c>
      <c r="H230" s="3">
        <v>185</v>
      </c>
      <c r="I230" s="3">
        <v>249</v>
      </c>
      <c r="J230" s="3">
        <v>60</v>
      </c>
      <c r="K230" t="s">
        <v>20</v>
      </c>
      <c r="L230" s="2">
        <f t="shared" si="9"/>
        <v>2.0999999999999996</v>
      </c>
      <c r="M230" s="2">
        <f t="shared" si="10"/>
        <v>836.19999999999993</v>
      </c>
      <c r="N230" s="2">
        <f t="shared" si="11"/>
        <v>388.49999999999994</v>
      </c>
    </row>
    <row r="231" spans="1:14">
      <c r="A231" t="s">
        <v>336</v>
      </c>
      <c r="B231" t="s">
        <v>85</v>
      </c>
      <c r="C231" t="s">
        <v>27</v>
      </c>
      <c r="D231" t="s">
        <v>24</v>
      </c>
      <c r="E231" s="2">
        <v>10.87</v>
      </c>
      <c r="F231" s="2">
        <v>20.72</v>
      </c>
      <c r="G231" s="3">
        <v>116</v>
      </c>
      <c r="H231" s="3">
        <v>82</v>
      </c>
      <c r="I231" s="3">
        <v>34</v>
      </c>
      <c r="J231" s="3">
        <v>27</v>
      </c>
      <c r="K231" t="s">
        <v>20</v>
      </c>
      <c r="L231" s="2">
        <f t="shared" si="9"/>
        <v>9.85</v>
      </c>
      <c r="M231" s="2">
        <f t="shared" si="10"/>
        <v>1699.04</v>
      </c>
      <c r="N231" s="2">
        <f t="shared" si="11"/>
        <v>807.69999999999993</v>
      </c>
    </row>
    <row r="232" spans="1:14">
      <c r="A232" t="s">
        <v>337</v>
      </c>
      <c r="B232" t="s">
        <v>216</v>
      </c>
      <c r="C232" t="s">
        <v>23</v>
      </c>
      <c r="D232" t="s">
        <v>48</v>
      </c>
      <c r="E232" s="2">
        <v>21.22</v>
      </c>
      <c r="F232" s="2">
        <v>34.94</v>
      </c>
      <c r="G232" s="3">
        <v>136</v>
      </c>
      <c r="H232" s="3">
        <v>118</v>
      </c>
      <c r="I232" s="3">
        <v>18</v>
      </c>
      <c r="J232" s="3">
        <v>27</v>
      </c>
      <c r="K232" t="s">
        <v>15</v>
      </c>
      <c r="L232" s="2">
        <f t="shared" si="9"/>
        <v>13.719999999999999</v>
      </c>
      <c r="M232" s="2">
        <f t="shared" si="10"/>
        <v>4122.92</v>
      </c>
      <c r="N232" s="2">
        <f t="shared" si="11"/>
        <v>1618.9599999999998</v>
      </c>
    </row>
    <row r="233" spans="1:14">
      <c r="A233" t="s">
        <v>338</v>
      </c>
      <c r="B233" t="s">
        <v>248</v>
      </c>
      <c r="C233" t="s">
        <v>27</v>
      </c>
      <c r="D233" t="s">
        <v>28</v>
      </c>
      <c r="E233" s="2">
        <v>4.68</v>
      </c>
      <c r="F233" s="2">
        <v>8.75</v>
      </c>
      <c r="G233" s="3">
        <v>442</v>
      </c>
      <c r="H233" s="3">
        <v>398</v>
      </c>
      <c r="I233" s="3">
        <v>44</v>
      </c>
      <c r="J233" s="3">
        <v>60</v>
      </c>
      <c r="K233" t="s">
        <v>15</v>
      </c>
      <c r="L233" s="2">
        <f t="shared" si="9"/>
        <v>4.07</v>
      </c>
      <c r="M233" s="2">
        <f t="shared" si="10"/>
        <v>3482.5</v>
      </c>
      <c r="N233" s="2">
        <f t="shared" si="11"/>
        <v>1619.8600000000001</v>
      </c>
    </row>
    <row r="234" spans="1:14">
      <c r="A234" t="s">
        <v>339</v>
      </c>
      <c r="B234" t="s">
        <v>12</v>
      </c>
      <c r="C234" t="s">
        <v>13</v>
      </c>
      <c r="D234" t="s">
        <v>19</v>
      </c>
      <c r="E234" s="2">
        <v>20.88</v>
      </c>
      <c r="F234" s="2">
        <v>39.93</v>
      </c>
      <c r="G234" s="3">
        <v>316</v>
      </c>
      <c r="H234" s="3">
        <v>267</v>
      </c>
      <c r="I234" s="3">
        <v>49</v>
      </c>
      <c r="J234" s="3">
        <v>49</v>
      </c>
      <c r="K234" t="s">
        <v>15</v>
      </c>
      <c r="L234" s="2">
        <f t="shared" si="9"/>
        <v>19.05</v>
      </c>
      <c r="M234" s="2">
        <f t="shared" si="10"/>
        <v>10661.31</v>
      </c>
      <c r="N234" s="2">
        <f t="shared" si="11"/>
        <v>5086.3500000000004</v>
      </c>
    </row>
    <row r="235" spans="1:14">
      <c r="A235" t="s">
        <v>340</v>
      </c>
      <c r="B235" t="s">
        <v>56</v>
      </c>
      <c r="C235" t="s">
        <v>23</v>
      </c>
      <c r="D235" t="s">
        <v>42</v>
      </c>
      <c r="E235" s="2">
        <v>1.9</v>
      </c>
      <c r="F235" s="2">
        <v>3.93</v>
      </c>
      <c r="G235" s="3">
        <v>130</v>
      </c>
      <c r="H235" s="3">
        <v>59</v>
      </c>
      <c r="I235" s="3">
        <v>71</v>
      </c>
      <c r="J235" s="3">
        <v>22</v>
      </c>
      <c r="K235" t="s">
        <v>20</v>
      </c>
      <c r="L235" s="2">
        <f t="shared" si="9"/>
        <v>2.0300000000000002</v>
      </c>
      <c r="M235" s="2">
        <f t="shared" si="10"/>
        <v>231.87</v>
      </c>
      <c r="N235" s="2">
        <f t="shared" si="11"/>
        <v>119.77000000000001</v>
      </c>
    </row>
    <row r="236" spans="1:14">
      <c r="A236" t="s">
        <v>341</v>
      </c>
      <c r="B236" t="s">
        <v>222</v>
      </c>
      <c r="C236" t="s">
        <v>18</v>
      </c>
      <c r="D236" t="s">
        <v>24</v>
      </c>
      <c r="E236" s="2">
        <v>11.47</v>
      </c>
      <c r="F236" s="2">
        <v>20.239999999999998</v>
      </c>
      <c r="G236" s="3">
        <v>255</v>
      </c>
      <c r="H236" s="3">
        <v>83</v>
      </c>
      <c r="I236" s="3">
        <v>172</v>
      </c>
      <c r="J236" s="3">
        <v>32</v>
      </c>
      <c r="K236" t="s">
        <v>20</v>
      </c>
      <c r="L236" s="2">
        <f t="shared" si="9"/>
        <v>8.7699999999999978</v>
      </c>
      <c r="M236" s="2">
        <f t="shared" si="10"/>
        <v>1679.9199999999998</v>
      </c>
      <c r="N236" s="2">
        <f t="shared" si="11"/>
        <v>727.90999999999985</v>
      </c>
    </row>
    <row r="237" spans="1:14">
      <c r="A237" t="s">
        <v>342</v>
      </c>
      <c r="B237" t="s">
        <v>74</v>
      </c>
      <c r="C237" t="s">
        <v>23</v>
      </c>
      <c r="D237" t="s">
        <v>100</v>
      </c>
      <c r="E237" s="2">
        <v>18.100000000000001</v>
      </c>
      <c r="F237" s="2">
        <v>29.53</v>
      </c>
      <c r="G237" s="3">
        <v>473</v>
      </c>
      <c r="H237" s="3">
        <v>174</v>
      </c>
      <c r="I237" s="3">
        <v>299</v>
      </c>
      <c r="J237" s="3">
        <v>102</v>
      </c>
      <c r="K237" t="s">
        <v>20</v>
      </c>
      <c r="L237" s="2">
        <f t="shared" si="9"/>
        <v>11.43</v>
      </c>
      <c r="M237" s="2">
        <f t="shared" si="10"/>
        <v>5138.22</v>
      </c>
      <c r="N237" s="2">
        <f t="shared" si="11"/>
        <v>1988.82</v>
      </c>
    </row>
    <row r="238" spans="1:14">
      <c r="A238" t="s">
        <v>343</v>
      </c>
      <c r="B238" t="s">
        <v>248</v>
      </c>
      <c r="C238" t="s">
        <v>27</v>
      </c>
      <c r="D238" t="s">
        <v>24</v>
      </c>
      <c r="E238" s="2">
        <v>3.48</v>
      </c>
      <c r="F238" s="2">
        <v>4.6500000000000004</v>
      </c>
      <c r="G238" s="3">
        <v>384</v>
      </c>
      <c r="H238" s="3">
        <v>247</v>
      </c>
      <c r="I238" s="3">
        <v>137</v>
      </c>
      <c r="J238" s="3">
        <v>45</v>
      </c>
      <c r="K238" t="s">
        <v>20</v>
      </c>
      <c r="L238" s="2">
        <f t="shared" si="9"/>
        <v>1.1700000000000004</v>
      </c>
      <c r="M238" s="2">
        <f t="shared" si="10"/>
        <v>1148.5500000000002</v>
      </c>
      <c r="N238" s="2">
        <f t="shared" si="11"/>
        <v>288.99000000000007</v>
      </c>
    </row>
    <row r="239" spans="1:14">
      <c r="A239" t="s">
        <v>344</v>
      </c>
      <c r="B239" t="s">
        <v>50</v>
      </c>
      <c r="C239" t="s">
        <v>33</v>
      </c>
      <c r="D239" t="s">
        <v>54</v>
      </c>
      <c r="E239" s="2">
        <v>8.16</v>
      </c>
      <c r="F239" s="2">
        <v>10.72</v>
      </c>
      <c r="G239" s="3">
        <v>326</v>
      </c>
      <c r="H239" s="3">
        <v>116</v>
      </c>
      <c r="I239" s="3">
        <v>210</v>
      </c>
      <c r="J239" s="3">
        <v>41</v>
      </c>
      <c r="K239" t="s">
        <v>20</v>
      </c>
      <c r="L239" s="2">
        <f t="shared" si="9"/>
        <v>2.5600000000000005</v>
      </c>
      <c r="M239" s="2">
        <f t="shared" si="10"/>
        <v>1243.52</v>
      </c>
      <c r="N239" s="2">
        <f t="shared" si="11"/>
        <v>296.96000000000004</v>
      </c>
    </row>
    <row r="240" spans="1:14">
      <c r="A240" t="s">
        <v>345</v>
      </c>
      <c r="B240" t="s">
        <v>17</v>
      </c>
      <c r="C240" t="s">
        <v>18</v>
      </c>
      <c r="D240" t="s">
        <v>39</v>
      </c>
      <c r="E240" s="2">
        <v>1.62</v>
      </c>
      <c r="F240" s="2">
        <v>3.35</v>
      </c>
      <c r="G240" s="3">
        <v>393</v>
      </c>
      <c r="H240" s="3">
        <v>362</v>
      </c>
      <c r="I240" s="3">
        <v>31</v>
      </c>
      <c r="J240" s="3">
        <v>96</v>
      </c>
      <c r="K240" t="s">
        <v>15</v>
      </c>
      <c r="L240" s="2">
        <f t="shared" si="9"/>
        <v>1.73</v>
      </c>
      <c r="M240" s="2">
        <f t="shared" si="10"/>
        <v>1212.7</v>
      </c>
      <c r="N240" s="2">
        <f t="shared" si="11"/>
        <v>626.26</v>
      </c>
    </row>
    <row r="241" spans="1:14">
      <c r="A241" t="s">
        <v>346</v>
      </c>
      <c r="B241" t="s">
        <v>179</v>
      </c>
      <c r="C241" t="s">
        <v>53</v>
      </c>
      <c r="D241" t="s">
        <v>48</v>
      </c>
      <c r="E241" s="2">
        <v>30.99</v>
      </c>
      <c r="F241" s="2">
        <v>61.02</v>
      </c>
      <c r="G241" s="3">
        <v>459</v>
      </c>
      <c r="H241" s="3">
        <v>182</v>
      </c>
      <c r="I241" s="3">
        <v>277</v>
      </c>
      <c r="J241" s="3">
        <v>66</v>
      </c>
      <c r="K241" t="s">
        <v>20</v>
      </c>
      <c r="L241" s="2">
        <f t="shared" si="9"/>
        <v>30.030000000000005</v>
      </c>
      <c r="M241" s="2">
        <f t="shared" si="10"/>
        <v>11105.640000000001</v>
      </c>
      <c r="N241" s="2">
        <f t="shared" si="11"/>
        <v>5465.4600000000009</v>
      </c>
    </row>
    <row r="242" spans="1:14">
      <c r="A242" t="s">
        <v>347</v>
      </c>
      <c r="B242" t="s">
        <v>104</v>
      </c>
      <c r="C242" t="s">
        <v>33</v>
      </c>
      <c r="D242" t="s">
        <v>19</v>
      </c>
      <c r="E242" s="2">
        <v>1.71</v>
      </c>
      <c r="F242" s="2">
        <v>2.74</v>
      </c>
      <c r="G242" s="3">
        <v>217</v>
      </c>
      <c r="H242" s="3">
        <v>101</v>
      </c>
      <c r="I242" s="3">
        <v>116</v>
      </c>
      <c r="J242" s="3">
        <v>48</v>
      </c>
      <c r="K242" t="s">
        <v>20</v>
      </c>
      <c r="L242" s="2">
        <f t="shared" si="9"/>
        <v>1.0300000000000002</v>
      </c>
      <c r="M242" s="2">
        <f t="shared" si="10"/>
        <v>276.74</v>
      </c>
      <c r="N242" s="2">
        <f t="shared" si="11"/>
        <v>104.03000000000003</v>
      </c>
    </row>
    <row r="243" spans="1:14">
      <c r="A243" t="s">
        <v>348</v>
      </c>
      <c r="B243" t="s">
        <v>30</v>
      </c>
      <c r="C243" t="s">
        <v>13</v>
      </c>
      <c r="D243" t="s">
        <v>42</v>
      </c>
      <c r="E243" s="2">
        <v>14.94</v>
      </c>
      <c r="F243" s="2">
        <v>31.95</v>
      </c>
      <c r="G243" s="3">
        <v>223</v>
      </c>
      <c r="H243" s="3">
        <v>127</v>
      </c>
      <c r="I243" s="3">
        <v>96</v>
      </c>
      <c r="J243" s="3">
        <v>50</v>
      </c>
      <c r="K243" t="s">
        <v>20</v>
      </c>
      <c r="L243" s="2">
        <f t="shared" si="9"/>
        <v>17.009999999999998</v>
      </c>
      <c r="M243" s="2">
        <f t="shared" si="10"/>
        <v>4057.65</v>
      </c>
      <c r="N243" s="2">
        <f t="shared" si="11"/>
        <v>2160.2699999999995</v>
      </c>
    </row>
    <row r="244" spans="1:14">
      <c r="A244" t="s">
        <v>349</v>
      </c>
      <c r="B244" t="s">
        <v>85</v>
      </c>
      <c r="C244" t="s">
        <v>27</v>
      </c>
      <c r="D244" t="s">
        <v>100</v>
      </c>
      <c r="E244" s="2">
        <v>4.8099999999999996</v>
      </c>
      <c r="F244" s="2">
        <v>10.34</v>
      </c>
      <c r="G244" s="3">
        <v>73</v>
      </c>
      <c r="H244" s="3">
        <v>23</v>
      </c>
      <c r="I244" s="3">
        <v>50</v>
      </c>
      <c r="J244" s="3">
        <v>14</v>
      </c>
      <c r="K244" t="s">
        <v>20</v>
      </c>
      <c r="L244" s="2">
        <f t="shared" si="9"/>
        <v>5.53</v>
      </c>
      <c r="M244" s="2">
        <f t="shared" si="10"/>
        <v>237.82</v>
      </c>
      <c r="N244" s="2">
        <f t="shared" si="11"/>
        <v>127.19000000000001</v>
      </c>
    </row>
    <row r="245" spans="1:14">
      <c r="A245" t="s">
        <v>350</v>
      </c>
      <c r="B245" t="s">
        <v>351</v>
      </c>
      <c r="C245" t="s">
        <v>47</v>
      </c>
      <c r="D245" t="s">
        <v>48</v>
      </c>
      <c r="E245" s="2">
        <v>2.65</v>
      </c>
      <c r="F245" s="2">
        <v>5.1100000000000003</v>
      </c>
      <c r="G245" s="3">
        <v>464</v>
      </c>
      <c r="H245" s="3">
        <v>423</v>
      </c>
      <c r="I245" s="3">
        <v>41</v>
      </c>
      <c r="J245" s="3">
        <v>58</v>
      </c>
      <c r="K245" t="s">
        <v>15</v>
      </c>
      <c r="L245" s="2">
        <f t="shared" si="9"/>
        <v>2.4600000000000004</v>
      </c>
      <c r="M245" s="2">
        <f t="shared" si="10"/>
        <v>2161.5300000000002</v>
      </c>
      <c r="N245" s="2">
        <f t="shared" si="11"/>
        <v>1040.5800000000002</v>
      </c>
    </row>
    <row r="246" spans="1:14">
      <c r="A246" t="s">
        <v>352</v>
      </c>
      <c r="B246" t="s">
        <v>186</v>
      </c>
      <c r="C246" t="s">
        <v>13</v>
      </c>
      <c r="D246" t="s">
        <v>19</v>
      </c>
      <c r="E246" s="2">
        <v>4.26</v>
      </c>
      <c r="F246" s="2">
        <v>7.57</v>
      </c>
      <c r="G246" s="3">
        <v>481</v>
      </c>
      <c r="H246" s="3">
        <v>243</v>
      </c>
      <c r="I246" s="3">
        <v>238</v>
      </c>
      <c r="J246" s="3">
        <v>101</v>
      </c>
      <c r="K246" t="s">
        <v>20</v>
      </c>
      <c r="L246" s="2">
        <f t="shared" si="9"/>
        <v>3.3100000000000005</v>
      </c>
      <c r="M246" s="2">
        <f t="shared" si="10"/>
        <v>1839.51</v>
      </c>
      <c r="N246" s="2">
        <f t="shared" si="11"/>
        <v>804.33000000000015</v>
      </c>
    </row>
    <row r="247" spans="1:14">
      <c r="A247" t="s">
        <v>353</v>
      </c>
      <c r="B247" t="s">
        <v>323</v>
      </c>
      <c r="C247" t="s">
        <v>27</v>
      </c>
      <c r="D247" t="s">
        <v>100</v>
      </c>
      <c r="E247" s="2">
        <v>21.55</v>
      </c>
      <c r="F247" s="2">
        <v>32.03</v>
      </c>
      <c r="G247" s="3">
        <v>189</v>
      </c>
      <c r="H247" s="3">
        <v>71</v>
      </c>
      <c r="I247" s="3">
        <v>118</v>
      </c>
      <c r="J247" s="3">
        <v>41</v>
      </c>
      <c r="K247" t="s">
        <v>20</v>
      </c>
      <c r="L247" s="2">
        <f t="shared" si="9"/>
        <v>10.48</v>
      </c>
      <c r="M247" s="2">
        <f t="shared" si="10"/>
        <v>2274.13</v>
      </c>
      <c r="N247" s="2">
        <f t="shared" si="11"/>
        <v>744.08</v>
      </c>
    </row>
    <row r="248" spans="1:14">
      <c r="A248" t="s">
        <v>354</v>
      </c>
      <c r="B248" t="s">
        <v>164</v>
      </c>
      <c r="C248" t="s">
        <v>18</v>
      </c>
      <c r="D248" t="s">
        <v>54</v>
      </c>
      <c r="E248" s="2">
        <v>6.61</v>
      </c>
      <c r="F248" s="2">
        <v>12.49</v>
      </c>
      <c r="G248" s="3">
        <v>383</v>
      </c>
      <c r="H248" s="3">
        <v>303</v>
      </c>
      <c r="I248" s="3">
        <v>80</v>
      </c>
      <c r="J248" s="3">
        <v>71</v>
      </c>
      <c r="K248" t="s">
        <v>20</v>
      </c>
      <c r="L248" s="2">
        <f t="shared" si="9"/>
        <v>5.88</v>
      </c>
      <c r="M248" s="2">
        <f t="shared" si="10"/>
        <v>3784.4700000000003</v>
      </c>
      <c r="N248" s="2">
        <f t="shared" si="11"/>
        <v>1781.6399999999999</v>
      </c>
    </row>
    <row r="249" spans="1:14">
      <c r="A249" t="s">
        <v>355</v>
      </c>
      <c r="B249" t="s">
        <v>46</v>
      </c>
      <c r="C249" t="s">
        <v>47</v>
      </c>
      <c r="D249" t="s">
        <v>42</v>
      </c>
      <c r="E249" s="2">
        <v>4.05</v>
      </c>
      <c r="F249" s="2">
        <v>8.89</v>
      </c>
      <c r="G249" s="3">
        <v>440</v>
      </c>
      <c r="H249" s="3">
        <v>45</v>
      </c>
      <c r="I249" s="3">
        <v>395</v>
      </c>
      <c r="J249" s="3">
        <v>51</v>
      </c>
      <c r="K249" t="s">
        <v>20</v>
      </c>
      <c r="L249" s="2">
        <f t="shared" si="9"/>
        <v>4.8400000000000007</v>
      </c>
      <c r="M249" s="2">
        <f t="shared" si="10"/>
        <v>400.05</v>
      </c>
      <c r="N249" s="2">
        <f t="shared" si="11"/>
        <v>217.80000000000004</v>
      </c>
    </row>
    <row r="250" spans="1:14">
      <c r="A250" t="s">
        <v>356</v>
      </c>
      <c r="B250" t="s">
        <v>50</v>
      </c>
      <c r="C250" t="s">
        <v>33</v>
      </c>
      <c r="D250" t="s">
        <v>24</v>
      </c>
      <c r="E250" s="2">
        <v>2.74</v>
      </c>
      <c r="F250" s="2">
        <v>5.79</v>
      </c>
      <c r="G250" s="3">
        <v>48</v>
      </c>
      <c r="H250" s="3">
        <v>22</v>
      </c>
      <c r="I250" s="3">
        <v>26</v>
      </c>
      <c r="J250" s="3">
        <v>5</v>
      </c>
      <c r="K250" t="s">
        <v>20</v>
      </c>
      <c r="L250" s="2">
        <f t="shared" si="9"/>
        <v>3.05</v>
      </c>
      <c r="M250" s="2">
        <f t="shared" si="10"/>
        <v>127.38</v>
      </c>
      <c r="N250" s="2">
        <f t="shared" si="11"/>
        <v>67.099999999999994</v>
      </c>
    </row>
    <row r="251" spans="1:14">
      <c r="A251" t="s">
        <v>357</v>
      </c>
      <c r="B251" t="s">
        <v>22</v>
      </c>
      <c r="C251" t="s">
        <v>23</v>
      </c>
      <c r="D251" t="s">
        <v>24</v>
      </c>
      <c r="E251" s="2">
        <v>8.99</v>
      </c>
      <c r="F251" s="2">
        <v>13.87</v>
      </c>
      <c r="G251" s="3">
        <v>480</v>
      </c>
      <c r="H251" s="3">
        <v>334</v>
      </c>
      <c r="I251" s="3">
        <v>146</v>
      </c>
      <c r="J251" s="3">
        <v>100</v>
      </c>
      <c r="K251" t="s">
        <v>20</v>
      </c>
      <c r="L251" s="2">
        <f t="shared" si="9"/>
        <v>4.879999999999999</v>
      </c>
      <c r="M251" s="2">
        <f t="shared" si="10"/>
        <v>4632.58</v>
      </c>
      <c r="N251" s="2">
        <f t="shared" si="11"/>
        <v>1629.9199999999996</v>
      </c>
    </row>
    <row r="252" spans="1:14">
      <c r="A252" t="s">
        <v>358</v>
      </c>
      <c r="B252" t="s">
        <v>110</v>
      </c>
      <c r="C252" t="s">
        <v>27</v>
      </c>
      <c r="D252" t="s">
        <v>39</v>
      </c>
      <c r="E252" s="2">
        <v>17.36</v>
      </c>
      <c r="F252" s="2">
        <v>25.5</v>
      </c>
      <c r="G252" s="3">
        <v>142</v>
      </c>
      <c r="H252" s="3">
        <v>110</v>
      </c>
      <c r="I252" s="3">
        <v>32</v>
      </c>
      <c r="J252" s="3">
        <v>17</v>
      </c>
      <c r="K252" t="s">
        <v>20</v>
      </c>
      <c r="L252" s="2">
        <f t="shared" si="9"/>
        <v>8.14</v>
      </c>
      <c r="M252" s="2">
        <f t="shared" si="10"/>
        <v>2805</v>
      </c>
      <c r="N252" s="2">
        <f t="shared" si="11"/>
        <v>895.40000000000009</v>
      </c>
    </row>
    <row r="253" spans="1:14">
      <c r="A253" t="s">
        <v>359</v>
      </c>
      <c r="B253" t="s">
        <v>62</v>
      </c>
      <c r="C253" t="s">
        <v>13</v>
      </c>
      <c r="D253" t="s">
        <v>39</v>
      </c>
      <c r="E253" s="2">
        <v>29.94</v>
      </c>
      <c r="F253" s="2">
        <v>45.17</v>
      </c>
      <c r="G253" s="3">
        <v>226</v>
      </c>
      <c r="H253" s="3">
        <v>83</v>
      </c>
      <c r="I253" s="3">
        <v>143</v>
      </c>
      <c r="J253" s="3">
        <v>30</v>
      </c>
      <c r="K253" t="s">
        <v>20</v>
      </c>
      <c r="L253" s="2">
        <f t="shared" si="9"/>
        <v>15.23</v>
      </c>
      <c r="M253" s="2">
        <f t="shared" si="10"/>
        <v>3749.11</v>
      </c>
      <c r="N253" s="2">
        <f t="shared" si="11"/>
        <v>1264.0900000000001</v>
      </c>
    </row>
    <row r="254" spans="1:14">
      <c r="A254" t="s">
        <v>360</v>
      </c>
      <c r="B254" t="s">
        <v>229</v>
      </c>
      <c r="C254" t="s">
        <v>88</v>
      </c>
      <c r="D254" t="s">
        <v>14</v>
      </c>
      <c r="E254" s="2">
        <v>78.790000000000006</v>
      </c>
      <c r="F254" s="2">
        <v>107.46</v>
      </c>
      <c r="G254" s="3">
        <v>319</v>
      </c>
      <c r="H254" s="3">
        <v>150</v>
      </c>
      <c r="I254" s="3">
        <v>169</v>
      </c>
      <c r="J254" s="3">
        <v>65</v>
      </c>
      <c r="K254" t="s">
        <v>20</v>
      </c>
      <c r="L254" s="2">
        <f t="shared" si="9"/>
        <v>28.669999999999987</v>
      </c>
      <c r="M254" s="2">
        <f t="shared" si="10"/>
        <v>16118.999999999998</v>
      </c>
      <c r="N254" s="2">
        <f t="shared" si="11"/>
        <v>4300.4999999999982</v>
      </c>
    </row>
    <row r="255" spans="1:14">
      <c r="A255" t="s">
        <v>361</v>
      </c>
      <c r="B255" t="s">
        <v>272</v>
      </c>
      <c r="C255" t="s">
        <v>47</v>
      </c>
      <c r="D255" t="s">
        <v>14</v>
      </c>
      <c r="E255" s="2">
        <v>8.76</v>
      </c>
      <c r="F255" s="2">
        <v>14.39</v>
      </c>
      <c r="G255" s="3">
        <v>277</v>
      </c>
      <c r="H255" s="3">
        <v>201</v>
      </c>
      <c r="I255" s="3">
        <v>76</v>
      </c>
      <c r="J255" s="3">
        <v>55</v>
      </c>
      <c r="K255" t="s">
        <v>20</v>
      </c>
      <c r="L255" s="2">
        <f t="shared" si="9"/>
        <v>5.6300000000000008</v>
      </c>
      <c r="M255" s="2">
        <f t="shared" si="10"/>
        <v>2892.3900000000003</v>
      </c>
      <c r="N255" s="2">
        <f t="shared" si="11"/>
        <v>1131.6300000000001</v>
      </c>
    </row>
    <row r="256" spans="1:14">
      <c r="A256" t="s">
        <v>362</v>
      </c>
      <c r="B256" t="s">
        <v>30</v>
      </c>
      <c r="C256" t="s">
        <v>13</v>
      </c>
      <c r="D256" t="s">
        <v>24</v>
      </c>
      <c r="E256" s="2">
        <v>29.92</v>
      </c>
      <c r="F256" s="2">
        <v>40.799999999999997</v>
      </c>
      <c r="G256" s="3">
        <v>212</v>
      </c>
      <c r="H256" s="3">
        <v>166</v>
      </c>
      <c r="I256" s="3">
        <v>46</v>
      </c>
      <c r="J256" s="3">
        <v>40</v>
      </c>
      <c r="K256" t="s">
        <v>20</v>
      </c>
      <c r="L256" s="2">
        <f t="shared" si="9"/>
        <v>10.879999999999995</v>
      </c>
      <c r="M256" s="2">
        <f t="shared" si="10"/>
        <v>6772.7999999999993</v>
      </c>
      <c r="N256" s="2">
        <f t="shared" si="11"/>
        <v>1806.0799999999992</v>
      </c>
    </row>
    <row r="257" spans="1:14">
      <c r="A257" t="s">
        <v>363</v>
      </c>
      <c r="B257" t="s">
        <v>237</v>
      </c>
      <c r="C257" t="s">
        <v>47</v>
      </c>
      <c r="D257" t="s">
        <v>28</v>
      </c>
      <c r="E257" s="2">
        <v>6.12</v>
      </c>
      <c r="F257" s="2">
        <v>12.53</v>
      </c>
      <c r="G257" s="3">
        <v>27</v>
      </c>
      <c r="H257" s="3">
        <v>18</v>
      </c>
      <c r="I257" s="3">
        <v>9</v>
      </c>
      <c r="J257" s="3">
        <v>2</v>
      </c>
      <c r="K257" t="s">
        <v>20</v>
      </c>
      <c r="L257" s="2">
        <f t="shared" si="9"/>
        <v>6.4099999999999993</v>
      </c>
      <c r="M257" s="2">
        <f t="shared" si="10"/>
        <v>225.54</v>
      </c>
      <c r="N257" s="2">
        <f t="shared" si="11"/>
        <v>115.37999999999998</v>
      </c>
    </row>
    <row r="258" spans="1:14">
      <c r="A258" t="s">
        <v>364</v>
      </c>
      <c r="B258" t="s">
        <v>97</v>
      </c>
      <c r="C258" t="s">
        <v>53</v>
      </c>
      <c r="D258" t="s">
        <v>100</v>
      </c>
      <c r="E258" s="2">
        <v>31.45</v>
      </c>
      <c r="F258" s="2">
        <v>68.52</v>
      </c>
      <c r="G258" s="3">
        <v>422</v>
      </c>
      <c r="H258" s="3">
        <v>62</v>
      </c>
      <c r="I258" s="3">
        <v>360</v>
      </c>
      <c r="J258" s="3">
        <v>86</v>
      </c>
      <c r="K258" t="s">
        <v>20</v>
      </c>
      <c r="L258" s="2">
        <f t="shared" si="9"/>
        <v>37.069999999999993</v>
      </c>
      <c r="M258" s="2">
        <f t="shared" si="10"/>
        <v>4248.24</v>
      </c>
      <c r="N258" s="2">
        <f t="shared" si="11"/>
        <v>2298.3399999999997</v>
      </c>
    </row>
    <row r="259" spans="1:14">
      <c r="A259" t="s">
        <v>365</v>
      </c>
      <c r="B259" t="s">
        <v>116</v>
      </c>
      <c r="C259" t="s">
        <v>23</v>
      </c>
      <c r="D259" t="s">
        <v>19</v>
      </c>
      <c r="E259" s="2">
        <v>9.68</v>
      </c>
      <c r="F259" s="2">
        <v>18.010000000000002</v>
      </c>
      <c r="G259" s="3">
        <v>91</v>
      </c>
      <c r="H259" s="3">
        <v>42</v>
      </c>
      <c r="I259" s="3">
        <v>49</v>
      </c>
      <c r="J259" s="3">
        <v>10</v>
      </c>
      <c r="K259" t="s">
        <v>20</v>
      </c>
      <c r="L259" s="2">
        <f t="shared" ref="L259:L322" si="12">F259-E259</f>
        <v>8.3300000000000018</v>
      </c>
      <c r="M259" s="2">
        <f t="shared" ref="M259:M322" si="13">H259*F259</f>
        <v>756.42000000000007</v>
      </c>
      <c r="N259" s="2">
        <f t="shared" ref="N259:N322" si="14">H259*L259</f>
        <v>349.86000000000007</v>
      </c>
    </row>
    <row r="260" spans="1:14">
      <c r="A260" t="s">
        <v>366</v>
      </c>
      <c r="B260" t="s">
        <v>216</v>
      </c>
      <c r="C260" t="s">
        <v>23</v>
      </c>
      <c r="D260" t="s">
        <v>54</v>
      </c>
      <c r="E260" s="2">
        <v>17.350000000000001</v>
      </c>
      <c r="F260" s="2">
        <v>25.05</v>
      </c>
      <c r="G260" s="3">
        <v>147</v>
      </c>
      <c r="H260" s="3">
        <v>125</v>
      </c>
      <c r="I260" s="3">
        <v>22</v>
      </c>
      <c r="J260" s="3">
        <v>16</v>
      </c>
      <c r="K260" t="s">
        <v>20</v>
      </c>
      <c r="L260" s="2">
        <f t="shared" si="12"/>
        <v>7.6999999999999993</v>
      </c>
      <c r="M260" s="2">
        <f t="shared" si="13"/>
        <v>3131.25</v>
      </c>
      <c r="N260" s="2">
        <f t="shared" si="14"/>
        <v>962.49999999999989</v>
      </c>
    </row>
    <row r="261" spans="1:14">
      <c r="A261" t="s">
        <v>367</v>
      </c>
      <c r="B261" t="s">
        <v>227</v>
      </c>
      <c r="C261" t="s">
        <v>27</v>
      </c>
      <c r="D261" t="s">
        <v>54</v>
      </c>
      <c r="E261" s="2">
        <v>14.3</v>
      </c>
      <c r="F261" s="2">
        <v>19.11</v>
      </c>
      <c r="G261" s="3">
        <v>418</v>
      </c>
      <c r="H261" s="3">
        <v>322</v>
      </c>
      <c r="I261" s="3">
        <v>96</v>
      </c>
      <c r="J261" s="3">
        <v>73</v>
      </c>
      <c r="K261" t="s">
        <v>20</v>
      </c>
      <c r="L261" s="2">
        <f t="shared" si="12"/>
        <v>4.8099999999999987</v>
      </c>
      <c r="M261" s="2">
        <f t="shared" si="13"/>
        <v>6153.42</v>
      </c>
      <c r="N261" s="2">
        <f t="shared" si="14"/>
        <v>1548.8199999999995</v>
      </c>
    </row>
    <row r="262" spans="1:14">
      <c r="A262" t="s">
        <v>368</v>
      </c>
      <c r="B262" t="s">
        <v>222</v>
      </c>
      <c r="C262" t="s">
        <v>18</v>
      </c>
      <c r="D262" t="s">
        <v>48</v>
      </c>
      <c r="E262" s="2">
        <v>16.78</v>
      </c>
      <c r="F262" s="2">
        <v>35.24</v>
      </c>
      <c r="G262" s="3">
        <v>94</v>
      </c>
      <c r="H262" s="3">
        <v>34</v>
      </c>
      <c r="I262" s="3">
        <v>60</v>
      </c>
      <c r="J262" s="3">
        <v>20</v>
      </c>
      <c r="K262" t="s">
        <v>20</v>
      </c>
      <c r="L262" s="2">
        <f t="shared" si="12"/>
        <v>18.46</v>
      </c>
      <c r="M262" s="2">
        <f t="shared" si="13"/>
        <v>1198.1600000000001</v>
      </c>
      <c r="N262" s="2">
        <f t="shared" si="14"/>
        <v>627.64</v>
      </c>
    </row>
    <row r="263" spans="1:14">
      <c r="A263" t="s">
        <v>369</v>
      </c>
      <c r="B263" t="s">
        <v>172</v>
      </c>
      <c r="C263" t="s">
        <v>18</v>
      </c>
      <c r="D263" t="s">
        <v>77</v>
      </c>
      <c r="E263" s="2">
        <v>13.31</v>
      </c>
      <c r="F263" s="2">
        <v>28.25</v>
      </c>
      <c r="G263" s="3">
        <v>320</v>
      </c>
      <c r="H263" s="3">
        <v>234</v>
      </c>
      <c r="I263" s="3">
        <v>86</v>
      </c>
      <c r="J263" s="3">
        <v>72</v>
      </c>
      <c r="K263" t="s">
        <v>20</v>
      </c>
      <c r="L263" s="2">
        <f t="shared" si="12"/>
        <v>14.94</v>
      </c>
      <c r="M263" s="2">
        <f t="shared" si="13"/>
        <v>6610.5</v>
      </c>
      <c r="N263" s="2">
        <f t="shared" si="14"/>
        <v>3495.96</v>
      </c>
    </row>
    <row r="264" spans="1:14">
      <c r="A264" t="s">
        <v>370</v>
      </c>
      <c r="B264" t="s">
        <v>17</v>
      </c>
      <c r="C264" t="s">
        <v>18</v>
      </c>
      <c r="D264" t="s">
        <v>39</v>
      </c>
      <c r="E264" s="2">
        <v>15.39</v>
      </c>
      <c r="F264" s="2">
        <v>28.86</v>
      </c>
      <c r="G264" s="3">
        <v>106</v>
      </c>
      <c r="H264" s="3">
        <v>59</v>
      </c>
      <c r="I264" s="3">
        <v>47</v>
      </c>
      <c r="J264" s="3">
        <v>18</v>
      </c>
      <c r="K264" t="s">
        <v>20</v>
      </c>
      <c r="L264" s="2">
        <f t="shared" si="12"/>
        <v>13.469999999999999</v>
      </c>
      <c r="M264" s="2">
        <f t="shared" si="13"/>
        <v>1702.74</v>
      </c>
      <c r="N264" s="2">
        <f t="shared" si="14"/>
        <v>794.7299999999999</v>
      </c>
    </row>
    <row r="265" spans="1:14">
      <c r="A265" t="s">
        <v>371</v>
      </c>
      <c r="B265" t="s">
        <v>323</v>
      </c>
      <c r="C265" t="s">
        <v>27</v>
      </c>
      <c r="D265" t="s">
        <v>42</v>
      </c>
      <c r="E265" s="2">
        <v>18.09</v>
      </c>
      <c r="F265" s="2">
        <v>38.840000000000003</v>
      </c>
      <c r="G265" s="3">
        <v>420</v>
      </c>
      <c r="H265" s="3">
        <v>170</v>
      </c>
      <c r="I265" s="3">
        <v>250</v>
      </c>
      <c r="J265" s="3">
        <v>95</v>
      </c>
      <c r="K265" t="s">
        <v>20</v>
      </c>
      <c r="L265" s="2">
        <f t="shared" si="12"/>
        <v>20.750000000000004</v>
      </c>
      <c r="M265" s="2">
        <f t="shared" si="13"/>
        <v>6602.8</v>
      </c>
      <c r="N265" s="2">
        <f t="shared" si="14"/>
        <v>3527.5000000000005</v>
      </c>
    </row>
    <row r="266" spans="1:14">
      <c r="A266" t="s">
        <v>372</v>
      </c>
      <c r="B266" t="s">
        <v>237</v>
      </c>
      <c r="C266" t="s">
        <v>47</v>
      </c>
      <c r="D266" t="s">
        <v>14</v>
      </c>
      <c r="E266" s="2">
        <v>6.69</v>
      </c>
      <c r="F266" s="2">
        <v>11.15</v>
      </c>
      <c r="G266" s="3">
        <v>156</v>
      </c>
      <c r="H266" s="3">
        <v>109</v>
      </c>
      <c r="I266" s="3">
        <v>47</v>
      </c>
      <c r="J266" s="3">
        <v>33</v>
      </c>
      <c r="K266" t="s">
        <v>20</v>
      </c>
      <c r="L266" s="2">
        <f t="shared" si="12"/>
        <v>4.46</v>
      </c>
      <c r="M266" s="2">
        <f t="shared" si="13"/>
        <v>1215.3500000000001</v>
      </c>
      <c r="N266" s="2">
        <f t="shared" si="14"/>
        <v>486.14</v>
      </c>
    </row>
    <row r="267" spans="1:14">
      <c r="A267" t="s">
        <v>373</v>
      </c>
      <c r="B267" t="s">
        <v>229</v>
      </c>
      <c r="C267" t="s">
        <v>88</v>
      </c>
      <c r="D267" t="s">
        <v>24</v>
      </c>
      <c r="E267" s="2">
        <v>42.3</v>
      </c>
      <c r="F267" s="2">
        <v>92.89</v>
      </c>
      <c r="G267" s="3">
        <v>288</v>
      </c>
      <c r="H267" s="3">
        <v>169</v>
      </c>
      <c r="I267" s="3">
        <v>119</v>
      </c>
      <c r="J267" s="3">
        <v>35</v>
      </c>
      <c r="K267" t="s">
        <v>20</v>
      </c>
      <c r="L267" s="2">
        <f t="shared" si="12"/>
        <v>50.59</v>
      </c>
      <c r="M267" s="2">
        <f t="shared" si="13"/>
        <v>15698.41</v>
      </c>
      <c r="N267" s="2">
        <f t="shared" si="14"/>
        <v>8549.7100000000009</v>
      </c>
    </row>
    <row r="268" spans="1:14">
      <c r="A268" t="s">
        <v>374</v>
      </c>
      <c r="B268" t="s">
        <v>17</v>
      </c>
      <c r="C268" t="s">
        <v>18</v>
      </c>
      <c r="D268" t="s">
        <v>28</v>
      </c>
      <c r="E268" s="2">
        <v>18.2</v>
      </c>
      <c r="F268" s="2">
        <v>24</v>
      </c>
      <c r="G268" s="3">
        <v>375</v>
      </c>
      <c r="H268" s="3">
        <v>274</v>
      </c>
      <c r="I268" s="3">
        <v>101</v>
      </c>
      <c r="J268" s="3">
        <v>84</v>
      </c>
      <c r="K268" t="s">
        <v>20</v>
      </c>
      <c r="L268" s="2">
        <f t="shared" si="12"/>
        <v>5.8000000000000007</v>
      </c>
      <c r="M268" s="2">
        <f t="shared" si="13"/>
        <v>6576</v>
      </c>
      <c r="N268" s="2">
        <f t="shared" si="14"/>
        <v>1589.2000000000003</v>
      </c>
    </row>
    <row r="269" spans="1:14">
      <c r="A269" t="s">
        <v>375</v>
      </c>
      <c r="B269" t="s">
        <v>52</v>
      </c>
      <c r="C269" t="s">
        <v>53</v>
      </c>
      <c r="D269" t="s">
        <v>54</v>
      </c>
      <c r="E269" s="2">
        <v>12.8</v>
      </c>
      <c r="F269" s="2">
        <v>21.71</v>
      </c>
      <c r="G269" s="3">
        <v>382</v>
      </c>
      <c r="H269" s="3">
        <v>42</v>
      </c>
      <c r="I269" s="3">
        <v>340</v>
      </c>
      <c r="J269" s="3">
        <v>83</v>
      </c>
      <c r="K269" t="s">
        <v>20</v>
      </c>
      <c r="L269" s="2">
        <f t="shared" si="12"/>
        <v>8.91</v>
      </c>
      <c r="M269" s="2">
        <f t="shared" si="13"/>
        <v>911.82</v>
      </c>
      <c r="N269" s="2">
        <f t="shared" si="14"/>
        <v>374.22</v>
      </c>
    </row>
    <row r="270" spans="1:14">
      <c r="A270" t="s">
        <v>376</v>
      </c>
      <c r="B270" t="s">
        <v>37</v>
      </c>
      <c r="C270" t="s">
        <v>23</v>
      </c>
      <c r="D270" t="s">
        <v>24</v>
      </c>
      <c r="E270" s="2">
        <v>23.19</v>
      </c>
      <c r="F270" s="2">
        <v>39.67</v>
      </c>
      <c r="G270" s="3">
        <v>121</v>
      </c>
      <c r="H270" s="3">
        <v>29</v>
      </c>
      <c r="I270" s="3">
        <v>92</v>
      </c>
      <c r="J270" s="3">
        <v>14</v>
      </c>
      <c r="K270" t="s">
        <v>20</v>
      </c>
      <c r="L270" s="2">
        <f t="shared" si="12"/>
        <v>16.48</v>
      </c>
      <c r="M270" s="2">
        <f t="shared" si="13"/>
        <v>1150.43</v>
      </c>
      <c r="N270" s="2">
        <f t="shared" si="14"/>
        <v>477.92</v>
      </c>
    </row>
    <row r="271" spans="1:14">
      <c r="A271" t="s">
        <v>377</v>
      </c>
      <c r="B271" t="s">
        <v>22</v>
      </c>
      <c r="C271" t="s">
        <v>23</v>
      </c>
      <c r="D271" t="s">
        <v>19</v>
      </c>
      <c r="E271" s="2">
        <v>5.09</v>
      </c>
      <c r="F271" s="2">
        <v>8.6300000000000008</v>
      </c>
      <c r="G271" s="3">
        <v>168</v>
      </c>
      <c r="H271" s="3">
        <v>129</v>
      </c>
      <c r="I271" s="3">
        <v>39</v>
      </c>
      <c r="J271" s="3">
        <v>34</v>
      </c>
      <c r="K271" t="s">
        <v>20</v>
      </c>
      <c r="L271" s="2">
        <f t="shared" si="12"/>
        <v>3.5400000000000009</v>
      </c>
      <c r="M271" s="2">
        <f t="shared" si="13"/>
        <v>1113.2700000000002</v>
      </c>
      <c r="N271" s="2">
        <f t="shared" si="14"/>
        <v>456.66000000000014</v>
      </c>
    </row>
    <row r="272" spans="1:14">
      <c r="A272" t="s">
        <v>378</v>
      </c>
      <c r="B272" t="s">
        <v>186</v>
      </c>
      <c r="C272" t="s">
        <v>13</v>
      </c>
      <c r="D272" t="s">
        <v>100</v>
      </c>
      <c r="E272" s="2">
        <v>14.44</v>
      </c>
      <c r="F272" s="2">
        <v>20.67</v>
      </c>
      <c r="G272" s="3">
        <v>409</v>
      </c>
      <c r="H272" s="3">
        <v>351</v>
      </c>
      <c r="I272" s="3">
        <v>58</v>
      </c>
      <c r="J272" s="3">
        <v>93</v>
      </c>
      <c r="K272" t="s">
        <v>15</v>
      </c>
      <c r="L272" s="2">
        <f t="shared" si="12"/>
        <v>6.2300000000000022</v>
      </c>
      <c r="M272" s="2">
        <f t="shared" si="13"/>
        <v>7255.170000000001</v>
      </c>
      <c r="N272" s="2">
        <f t="shared" si="14"/>
        <v>2186.7300000000009</v>
      </c>
    </row>
    <row r="273" spans="1:14">
      <c r="A273" t="s">
        <v>379</v>
      </c>
      <c r="B273" t="s">
        <v>128</v>
      </c>
      <c r="C273" t="s">
        <v>53</v>
      </c>
      <c r="D273" t="s">
        <v>42</v>
      </c>
      <c r="E273" s="2">
        <v>29.72</v>
      </c>
      <c r="F273" s="2">
        <v>45.88</v>
      </c>
      <c r="G273" s="3">
        <v>60</v>
      </c>
      <c r="H273" s="3">
        <v>23</v>
      </c>
      <c r="I273" s="3">
        <v>37</v>
      </c>
      <c r="J273" s="3">
        <v>9</v>
      </c>
      <c r="K273" t="s">
        <v>20</v>
      </c>
      <c r="L273" s="2">
        <f t="shared" si="12"/>
        <v>16.160000000000004</v>
      </c>
      <c r="M273" s="2">
        <f t="shared" si="13"/>
        <v>1055.24</v>
      </c>
      <c r="N273" s="2">
        <f t="shared" si="14"/>
        <v>371.68000000000006</v>
      </c>
    </row>
    <row r="274" spans="1:14">
      <c r="A274" t="s">
        <v>380</v>
      </c>
      <c r="B274" t="s">
        <v>144</v>
      </c>
      <c r="C274" t="s">
        <v>88</v>
      </c>
      <c r="D274" t="s">
        <v>77</v>
      </c>
      <c r="E274" s="2">
        <v>19.43</v>
      </c>
      <c r="F274" s="2">
        <v>30.37</v>
      </c>
      <c r="G274" s="3">
        <v>105</v>
      </c>
      <c r="H274" s="3">
        <v>16</v>
      </c>
      <c r="I274" s="3">
        <v>89</v>
      </c>
      <c r="J274" s="3">
        <v>17</v>
      </c>
      <c r="K274" t="s">
        <v>20</v>
      </c>
      <c r="L274" s="2">
        <f t="shared" si="12"/>
        <v>10.940000000000001</v>
      </c>
      <c r="M274" s="2">
        <f t="shared" si="13"/>
        <v>485.92</v>
      </c>
      <c r="N274" s="2">
        <f t="shared" si="14"/>
        <v>175.04000000000002</v>
      </c>
    </row>
    <row r="275" spans="1:14">
      <c r="A275" t="s">
        <v>381</v>
      </c>
      <c r="B275" t="s">
        <v>22</v>
      </c>
      <c r="C275" t="s">
        <v>23</v>
      </c>
      <c r="D275" t="s">
        <v>19</v>
      </c>
      <c r="E275" s="2">
        <v>24.79</v>
      </c>
      <c r="F275" s="2">
        <v>46.55</v>
      </c>
      <c r="G275" s="3">
        <v>499</v>
      </c>
      <c r="H275" s="3">
        <v>135</v>
      </c>
      <c r="I275" s="3">
        <v>364</v>
      </c>
      <c r="J275" s="3">
        <v>82</v>
      </c>
      <c r="K275" t="s">
        <v>20</v>
      </c>
      <c r="L275" s="2">
        <f t="shared" si="12"/>
        <v>21.759999999999998</v>
      </c>
      <c r="M275" s="2">
        <f t="shared" si="13"/>
        <v>6284.25</v>
      </c>
      <c r="N275" s="2">
        <f t="shared" si="14"/>
        <v>2937.6</v>
      </c>
    </row>
    <row r="276" spans="1:14">
      <c r="A276" t="s">
        <v>382</v>
      </c>
      <c r="B276" t="s">
        <v>351</v>
      </c>
      <c r="C276" t="s">
        <v>47</v>
      </c>
      <c r="D276" t="s">
        <v>48</v>
      </c>
      <c r="E276" s="2">
        <v>5.34</v>
      </c>
      <c r="F276" s="2">
        <v>7.82</v>
      </c>
      <c r="G276" s="3">
        <v>271</v>
      </c>
      <c r="H276" s="3">
        <v>224</v>
      </c>
      <c r="I276" s="3">
        <v>47</v>
      </c>
      <c r="J276" s="3">
        <v>36</v>
      </c>
      <c r="K276" t="s">
        <v>20</v>
      </c>
      <c r="L276" s="2">
        <f t="shared" si="12"/>
        <v>2.4800000000000004</v>
      </c>
      <c r="M276" s="2">
        <f t="shared" si="13"/>
        <v>1751.68</v>
      </c>
      <c r="N276" s="2">
        <f t="shared" si="14"/>
        <v>555.5200000000001</v>
      </c>
    </row>
    <row r="277" spans="1:14">
      <c r="A277" t="s">
        <v>383</v>
      </c>
      <c r="B277" t="s">
        <v>167</v>
      </c>
      <c r="C277" t="s">
        <v>88</v>
      </c>
      <c r="D277" t="s">
        <v>100</v>
      </c>
      <c r="E277" s="2">
        <v>4.49</v>
      </c>
      <c r="F277" s="2">
        <v>9.8699999999999992</v>
      </c>
      <c r="G277" s="3">
        <v>58</v>
      </c>
      <c r="H277" s="3">
        <v>48</v>
      </c>
      <c r="I277" s="3">
        <v>10</v>
      </c>
      <c r="J277" s="3">
        <v>6</v>
      </c>
      <c r="K277" t="s">
        <v>20</v>
      </c>
      <c r="L277" s="2">
        <f t="shared" si="12"/>
        <v>5.379999999999999</v>
      </c>
      <c r="M277" s="2">
        <f t="shared" si="13"/>
        <v>473.76</v>
      </c>
      <c r="N277" s="2">
        <f t="shared" si="14"/>
        <v>258.23999999999995</v>
      </c>
    </row>
    <row r="278" spans="1:14">
      <c r="A278" t="s">
        <v>384</v>
      </c>
      <c r="B278" t="s">
        <v>76</v>
      </c>
      <c r="C278" t="s">
        <v>27</v>
      </c>
      <c r="D278" t="s">
        <v>24</v>
      </c>
      <c r="E278" s="2">
        <v>20.93</v>
      </c>
      <c r="F278" s="2">
        <v>36.58</v>
      </c>
      <c r="G278" s="3">
        <v>356</v>
      </c>
      <c r="H278" s="3">
        <v>116</v>
      </c>
      <c r="I278" s="3">
        <v>240</v>
      </c>
      <c r="J278" s="3">
        <v>37</v>
      </c>
      <c r="K278" t="s">
        <v>20</v>
      </c>
      <c r="L278" s="2">
        <f t="shared" si="12"/>
        <v>15.649999999999999</v>
      </c>
      <c r="M278" s="2">
        <f t="shared" si="13"/>
        <v>4243.28</v>
      </c>
      <c r="N278" s="2">
        <f t="shared" si="14"/>
        <v>1815.3999999999999</v>
      </c>
    </row>
    <row r="279" spans="1:14">
      <c r="A279" t="s">
        <v>385</v>
      </c>
      <c r="B279" t="s">
        <v>94</v>
      </c>
      <c r="C279" t="s">
        <v>33</v>
      </c>
      <c r="D279" t="s">
        <v>54</v>
      </c>
      <c r="E279" s="2">
        <v>6.22</v>
      </c>
      <c r="F279" s="2">
        <v>12.75</v>
      </c>
      <c r="G279" s="3">
        <v>271</v>
      </c>
      <c r="H279" s="3">
        <v>159</v>
      </c>
      <c r="I279" s="3">
        <v>112</v>
      </c>
      <c r="J279" s="3">
        <v>60</v>
      </c>
      <c r="K279" t="s">
        <v>20</v>
      </c>
      <c r="L279" s="2">
        <f t="shared" si="12"/>
        <v>6.53</v>
      </c>
      <c r="M279" s="2">
        <f t="shared" si="13"/>
        <v>2027.25</v>
      </c>
      <c r="N279" s="2">
        <f t="shared" si="14"/>
        <v>1038.27</v>
      </c>
    </row>
    <row r="280" spans="1:14">
      <c r="A280" t="s">
        <v>386</v>
      </c>
      <c r="B280" t="s">
        <v>387</v>
      </c>
      <c r="C280" t="s">
        <v>88</v>
      </c>
      <c r="D280" t="s">
        <v>54</v>
      </c>
      <c r="E280" s="2">
        <v>16.510000000000002</v>
      </c>
      <c r="F280" s="2">
        <v>30.78</v>
      </c>
      <c r="G280" s="3">
        <v>148</v>
      </c>
      <c r="H280" s="3">
        <v>135</v>
      </c>
      <c r="I280" s="3">
        <v>13</v>
      </c>
      <c r="J280" s="3">
        <v>27</v>
      </c>
      <c r="K280" t="s">
        <v>15</v>
      </c>
      <c r="L280" s="2">
        <f t="shared" si="12"/>
        <v>14.27</v>
      </c>
      <c r="M280" s="2">
        <f t="shared" si="13"/>
        <v>4155.3</v>
      </c>
      <c r="N280" s="2">
        <f t="shared" si="14"/>
        <v>1926.45</v>
      </c>
    </row>
    <row r="281" spans="1:14">
      <c r="A281" t="s">
        <v>388</v>
      </c>
      <c r="B281" t="s">
        <v>169</v>
      </c>
      <c r="C281" t="s">
        <v>53</v>
      </c>
      <c r="D281" t="s">
        <v>54</v>
      </c>
      <c r="E281" s="2">
        <v>24.98</v>
      </c>
      <c r="F281" s="2">
        <v>32.72</v>
      </c>
      <c r="G281" s="3">
        <v>387</v>
      </c>
      <c r="H281" s="3">
        <v>75</v>
      </c>
      <c r="I281" s="3">
        <v>312</v>
      </c>
      <c r="J281" s="3">
        <v>85</v>
      </c>
      <c r="K281" t="s">
        <v>20</v>
      </c>
      <c r="L281" s="2">
        <f t="shared" si="12"/>
        <v>7.7399999999999984</v>
      </c>
      <c r="M281" s="2">
        <f t="shared" si="13"/>
        <v>2454</v>
      </c>
      <c r="N281" s="2">
        <f t="shared" si="14"/>
        <v>580.49999999999989</v>
      </c>
    </row>
    <row r="282" spans="1:14">
      <c r="A282" t="s">
        <v>389</v>
      </c>
      <c r="B282" t="s">
        <v>99</v>
      </c>
      <c r="C282" t="s">
        <v>33</v>
      </c>
      <c r="D282" t="s">
        <v>19</v>
      </c>
      <c r="E282" s="2">
        <v>11.18</v>
      </c>
      <c r="F282" s="2">
        <v>24.42</v>
      </c>
      <c r="G282" s="3">
        <v>285</v>
      </c>
      <c r="H282" s="3">
        <v>40</v>
      </c>
      <c r="I282" s="3">
        <v>245</v>
      </c>
      <c r="J282" s="3">
        <v>35</v>
      </c>
      <c r="K282" t="s">
        <v>20</v>
      </c>
      <c r="L282" s="2">
        <f t="shared" si="12"/>
        <v>13.240000000000002</v>
      </c>
      <c r="M282" s="2">
        <f t="shared" si="13"/>
        <v>976.80000000000007</v>
      </c>
      <c r="N282" s="2">
        <f t="shared" si="14"/>
        <v>529.60000000000014</v>
      </c>
    </row>
    <row r="283" spans="1:14">
      <c r="A283" t="s">
        <v>390</v>
      </c>
      <c r="B283" t="s">
        <v>147</v>
      </c>
      <c r="C283" t="s">
        <v>33</v>
      </c>
      <c r="D283" t="s">
        <v>100</v>
      </c>
      <c r="E283" s="2">
        <v>3.92</v>
      </c>
      <c r="F283" s="2">
        <v>5.34</v>
      </c>
      <c r="G283" s="3">
        <v>277</v>
      </c>
      <c r="H283" s="3">
        <v>177</v>
      </c>
      <c r="I283" s="3">
        <v>100</v>
      </c>
      <c r="J283" s="3">
        <v>53</v>
      </c>
      <c r="K283" t="s">
        <v>20</v>
      </c>
      <c r="L283" s="2">
        <f t="shared" si="12"/>
        <v>1.42</v>
      </c>
      <c r="M283" s="2">
        <f t="shared" si="13"/>
        <v>945.18</v>
      </c>
      <c r="N283" s="2">
        <f t="shared" si="14"/>
        <v>251.33999999999997</v>
      </c>
    </row>
    <row r="284" spans="1:14">
      <c r="A284" t="s">
        <v>391</v>
      </c>
      <c r="B284" t="s">
        <v>87</v>
      </c>
      <c r="C284" t="s">
        <v>88</v>
      </c>
      <c r="D284" t="s">
        <v>39</v>
      </c>
      <c r="E284" s="2">
        <v>19.16</v>
      </c>
      <c r="F284" s="2">
        <v>30.17</v>
      </c>
      <c r="G284" s="3">
        <v>359</v>
      </c>
      <c r="H284" s="3">
        <v>327</v>
      </c>
      <c r="I284" s="3">
        <v>32</v>
      </c>
      <c r="J284" s="3">
        <v>51</v>
      </c>
      <c r="K284" t="s">
        <v>15</v>
      </c>
      <c r="L284" s="2">
        <f t="shared" si="12"/>
        <v>11.010000000000002</v>
      </c>
      <c r="M284" s="2">
        <f t="shared" si="13"/>
        <v>9865.59</v>
      </c>
      <c r="N284" s="2">
        <f t="shared" si="14"/>
        <v>3600.2700000000004</v>
      </c>
    </row>
    <row r="285" spans="1:14">
      <c r="A285" t="s">
        <v>392</v>
      </c>
      <c r="B285" t="s">
        <v>387</v>
      </c>
      <c r="C285" t="s">
        <v>88</v>
      </c>
      <c r="D285" t="s">
        <v>39</v>
      </c>
      <c r="E285" s="2">
        <v>61.97</v>
      </c>
      <c r="F285" s="2">
        <v>110.17</v>
      </c>
      <c r="G285" s="3">
        <v>466</v>
      </c>
      <c r="H285" s="3">
        <v>246</v>
      </c>
      <c r="I285" s="3">
        <v>220</v>
      </c>
      <c r="J285" s="3">
        <v>98</v>
      </c>
      <c r="K285" t="s">
        <v>20</v>
      </c>
      <c r="L285" s="2">
        <f t="shared" si="12"/>
        <v>48.2</v>
      </c>
      <c r="M285" s="2">
        <f t="shared" si="13"/>
        <v>27101.82</v>
      </c>
      <c r="N285" s="2">
        <f t="shared" si="14"/>
        <v>11857.2</v>
      </c>
    </row>
    <row r="286" spans="1:14">
      <c r="A286" t="s">
        <v>393</v>
      </c>
      <c r="B286" t="s">
        <v>227</v>
      </c>
      <c r="C286" t="s">
        <v>27</v>
      </c>
      <c r="D286" t="s">
        <v>77</v>
      </c>
      <c r="E286" s="2">
        <v>9.6199999999999992</v>
      </c>
      <c r="F286" s="2">
        <v>21.04</v>
      </c>
      <c r="G286" s="3">
        <v>394</v>
      </c>
      <c r="H286" s="3">
        <v>96</v>
      </c>
      <c r="I286" s="3">
        <v>298</v>
      </c>
      <c r="J286" s="3">
        <v>41</v>
      </c>
      <c r="K286" t="s">
        <v>20</v>
      </c>
      <c r="L286" s="2">
        <f t="shared" si="12"/>
        <v>11.42</v>
      </c>
      <c r="M286" s="2">
        <f t="shared" si="13"/>
        <v>2019.84</v>
      </c>
      <c r="N286" s="2">
        <f t="shared" si="14"/>
        <v>1096.32</v>
      </c>
    </row>
    <row r="287" spans="1:14">
      <c r="A287" t="s">
        <v>394</v>
      </c>
      <c r="B287" t="s">
        <v>167</v>
      </c>
      <c r="C287" t="s">
        <v>88</v>
      </c>
      <c r="D287" t="s">
        <v>19</v>
      </c>
      <c r="E287" s="2">
        <v>14.38</v>
      </c>
      <c r="F287" s="2">
        <v>21.65</v>
      </c>
      <c r="G287" s="3">
        <v>240</v>
      </c>
      <c r="H287" s="3">
        <v>35</v>
      </c>
      <c r="I287" s="3">
        <v>205</v>
      </c>
      <c r="J287" s="3">
        <v>26</v>
      </c>
      <c r="K287" t="s">
        <v>20</v>
      </c>
      <c r="L287" s="2">
        <f t="shared" si="12"/>
        <v>7.2699999999999978</v>
      </c>
      <c r="M287" s="2">
        <f t="shared" si="13"/>
        <v>757.75</v>
      </c>
      <c r="N287" s="2">
        <f t="shared" si="14"/>
        <v>254.44999999999993</v>
      </c>
    </row>
    <row r="288" spans="1:14">
      <c r="A288" t="s">
        <v>395</v>
      </c>
      <c r="B288" t="s">
        <v>179</v>
      </c>
      <c r="C288" t="s">
        <v>53</v>
      </c>
      <c r="D288" t="s">
        <v>42</v>
      </c>
      <c r="E288" s="2">
        <v>13.89</v>
      </c>
      <c r="F288" s="2">
        <v>22.67</v>
      </c>
      <c r="G288" s="3">
        <v>388</v>
      </c>
      <c r="H288" s="3">
        <v>67</v>
      </c>
      <c r="I288" s="3">
        <v>321</v>
      </c>
      <c r="J288" s="3">
        <v>82</v>
      </c>
      <c r="K288" t="s">
        <v>20</v>
      </c>
      <c r="L288" s="2">
        <f t="shared" si="12"/>
        <v>8.7800000000000011</v>
      </c>
      <c r="M288" s="2">
        <f t="shared" si="13"/>
        <v>1518.89</v>
      </c>
      <c r="N288" s="2">
        <f t="shared" si="14"/>
        <v>588.2600000000001</v>
      </c>
    </row>
    <row r="289" spans="1:14">
      <c r="A289" t="s">
        <v>396</v>
      </c>
      <c r="B289" t="s">
        <v>167</v>
      </c>
      <c r="C289" t="s">
        <v>88</v>
      </c>
      <c r="D289" t="s">
        <v>42</v>
      </c>
      <c r="E289" s="2">
        <v>33.11</v>
      </c>
      <c r="F289" s="2">
        <v>61.05</v>
      </c>
      <c r="G289" s="3">
        <v>81</v>
      </c>
      <c r="H289" s="3">
        <v>38</v>
      </c>
      <c r="I289" s="3">
        <v>43</v>
      </c>
      <c r="J289" s="3">
        <v>14</v>
      </c>
      <c r="K289" t="s">
        <v>20</v>
      </c>
      <c r="L289" s="2">
        <f t="shared" si="12"/>
        <v>27.939999999999998</v>
      </c>
      <c r="M289" s="2">
        <f t="shared" si="13"/>
        <v>2319.9</v>
      </c>
      <c r="N289" s="2">
        <f t="shared" si="14"/>
        <v>1061.7199999999998</v>
      </c>
    </row>
    <row r="290" spans="1:14">
      <c r="A290" t="s">
        <v>397</v>
      </c>
      <c r="B290" t="s">
        <v>32</v>
      </c>
      <c r="C290" t="s">
        <v>33</v>
      </c>
      <c r="D290" t="s">
        <v>100</v>
      </c>
      <c r="E290" s="2">
        <v>6.43</v>
      </c>
      <c r="F290" s="2">
        <v>8.7899999999999991</v>
      </c>
      <c r="G290" s="3">
        <v>350</v>
      </c>
      <c r="H290" s="3">
        <v>280</v>
      </c>
      <c r="I290" s="3">
        <v>70</v>
      </c>
      <c r="J290" s="3">
        <v>68</v>
      </c>
      <c r="K290" t="s">
        <v>20</v>
      </c>
      <c r="L290" s="2">
        <f t="shared" si="12"/>
        <v>2.3599999999999994</v>
      </c>
      <c r="M290" s="2">
        <f t="shared" si="13"/>
        <v>2461.1999999999998</v>
      </c>
      <c r="N290" s="2">
        <f t="shared" si="14"/>
        <v>660.79999999999984</v>
      </c>
    </row>
    <row r="291" spans="1:14">
      <c r="A291" t="s">
        <v>398</v>
      </c>
      <c r="B291" t="s">
        <v>156</v>
      </c>
      <c r="C291" t="s">
        <v>47</v>
      </c>
      <c r="D291" t="s">
        <v>42</v>
      </c>
      <c r="E291" s="2">
        <v>1.17</v>
      </c>
      <c r="F291" s="2">
        <v>1.55</v>
      </c>
      <c r="G291" s="3">
        <v>251</v>
      </c>
      <c r="H291" s="3">
        <v>122</v>
      </c>
      <c r="I291" s="3">
        <v>129</v>
      </c>
      <c r="J291" s="3">
        <v>52</v>
      </c>
      <c r="K291" t="s">
        <v>20</v>
      </c>
      <c r="L291" s="2">
        <f t="shared" si="12"/>
        <v>0.38000000000000012</v>
      </c>
      <c r="M291" s="2">
        <f t="shared" si="13"/>
        <v>189.1</v>
      </c>
      <c r="N291" s="2">
        <f t="shared" si="14"/>
        <v>46.360000000000014</v>
      </c>
    </row>
    <row r="292" spans="1:14">
      <c r="A292" t="s">
        <v>399</v>
      </c>
      <c r="B292" t="s">
        <v>172</v>
      </c>
      <c r="C292" t="s">
        <v>18</v>
      </c>
      <c r="D292" t="s">
        <v>42</v>
      </c>
      <c r="E292" s="2">
        <v>1.5</v>
      </c>
      <c r="F292" s="2">
        <v>2.36</v>
      </c>
      <c r="G292" s="3">
        <v>326</v>
      </c>
      <c r="H292" s="3">
        <v>39</v>
      </c>
      <c r="I292" s="3">
        <v>287</v>
      </c>
      <c r="J292" s="3">
        <v>43</v>
      </c>
      <c r="K292" t="s">
        <v>20</v>
      </c>
      <c r="L292" s="2">
        <f t="shared" si="12"/>
        <v>0.85999999999999988</v>
      </c>
      <c r="M292" s="2">
        <f t="shared" si="13"/>
        <v>92.039999999999992</v>
      </c>
      <c r="N292" s="2">
        <f t="shared" si="14"/>
        <v>33.539999999999992</v>
      </c>
    </row>
    <row r="293" spans="1:14">
      <c r="A293" t="s">
        <v>400</v>
      </c>
      <c r="B293" t="s">
        <v>246</v>
      </c>
      <c r="C293" t="s">
        <v>33</v>
      </c>
      <c r="D293" t="s">
        <v>77</v>
      </c>
      <c r="E293" s="2">
        <v>9.77</v>
      </c>
      <c r="F293" s="2">
        <v>13.64</v>
      </c>
      <c r="G293" s="3">
        <v>346</v>
      </c>
      <c r="H293" s="3">
        <v>122</v>
      </c>
      <c r="I293" s="3">
        <v>224</v>
      </c>
      <c r="J293" s="3">
        <v>47</v>
      </c>
      <c r="K293" t="s">
        <v>20</v>
      </c>
      <c r="L293" s="2">
        <f t="shared" si="12"/>
        <v>3.870000000000001</v>
      </c>
      <c r="M293" s="2">
        <f t="shared" si="13"/>
        <v>1664.0800000000002</v>
      </c>
      <c r="N293" s="2">
        <f t="shared" si="14"/>
        <v>472.1400000000001</v>
      </c>
    </row>
    <row r="294" spans="1:14">
      <c r="A294" t="s">
        <v>401</v>
      </c>
      <c r="B294" t="s">
        <v>106</v>
      </c>
      <c r="C294" t="s">
        <v>33</v>
      </c>
      <c r="D294" t="s">
        <v>19</v>
      </c>
      <c r="E294" s="2">
        <v>6.55</v>
      </c>
      <c r="F294" s="2">
        <v>9.36</v>
      </c>
      <c r="G294" s="3">
        <v>430</v>
      </c>
      <c r="H294" s="3">
        <v>287</v>
      </c>
      <c r="I294" s="3">
        <v>143</v>
      </c>
      <c r="J294" s="3">
        <v>105</v>
      </c>
      <c r="K294" t="s">
        <v>20</v>
      </c>
      <c r="L294" s="2">
        <f t="shared" si="12"/>
        <v>2.8099999999999996</v>
      </c>
      <c r="M294" s="2">
        <f t="shared" si="13"/>
        <v>2686.3199999999997</v>
      </c>
      <c r="N294" s="2">
        <f t="shared" si="14"/>
        <v>806.46999999999991</v>
      </c>
    </row>
    <row r="295" spans="1:14">
      <c r="A295" t="s">
        <v>402</v>
      </c>
      <c r="B295" t="s">
        <v>387</v>
      </c>
      <c r="C295" t="s">
        <v>88</v>
      </c>
      <c r="D295" t="s">
        <v>24</v>
      </c>
      <c r="E295" s="2">
        <v>5.01</v>
      </c>
      <c r="F295" s="2">
        <v>6.53</v>
      </c>
      <c r="G295" s="3">
        <v>286</v>
      </c>
      <c r="H295" s="3">
        <v>132</v>
      </c>
      <c r="I295" s="3">
        <v>154</v>
      </c>
      <c r="J295" s="3">
        <v>52</v>
      </c>
      <c r="K295" t="s">
        <v>20</v>
      </c>
      <c r="L295" s="2">
        <f t="shared" si="12"/>
        <v>1.5200000000000005</v>
      </c>
      <c r="M295" s="2">
        <f t="shared" si="13"/>
        <v>861.96</v>
      </c>
      <c r="N295" s="2">
        <f t="shared" si="14"/>
        <v>200.64000000000007</v>
      </c>
    </row>
    <row r="296" spans="1:14">
      <c r="A296" t="s">
        <v>403</v>
      </c>
      <c r="B296" t="s">
        <v>66</v>
      </c>
      <c r="C296" t="s">
        <v>18</v>
      </c>
      <c r="D296" t="s">
        <v>42</v>
      </c>
      <c r="E296" s="2">
        <v>10.38</v>
      </c>
      <c r="F296" s="2">
        <v>21.98</v>
      </c>
      <c r="G296" s="3">
        <v>394</v>
      </c>
      <c r="H296" s="3">
        <v>339</v>
      </c>
      <c r="I296" s="3">
        <v>55</v>
      </c>
      <c r="J296" s="3">
        <v>88</v>
      </c>
      <c r="K296" t="s">
        <v>15</v>
      </c>
      <c r="L296" s="2">
        <f t="shared" si="12"/>
        <v>11.6</v>
      </c>
      <c r="M296" s="2">
        <f t="shared" si="13"/>
        <v>7451.22</v>
      </c>
      <c r="N296" s="2">
        <f t="shared" si="14"/>
        <v>3932.4</v>
      </c>
    </row>
    <row r="297" spans="1:14">
      <c r="A297" t="s">
        <v>404</v>
      </c>
      <c r="B297" t="s">
        <v>128</v>
      </c>
      <c r="C297" t="s">
        <v>53</v>
      </c>
      <c r="D297" t="s">
        <v>39</v>
      </c>
      <c r="E297" s="2">
        <v>15.51</v>
      </c>
      <c r="F297" s="2">
        <v>30.54</v>
      </c>
      <c r="G297" s="3">
        <v>343</v>
      </c>
      <c r="H297" s="3">
        <v>139</v>
      </c>
      <c r="I297" s="3">
        <v>204</v>
      </c>
      <c r="J297" s="3">
        <v>48</v>
      </c>
      <c r="K297" t="s">
        <v>20</v>
      </c>
      <c r="L297" s="2">
        <f t="shared" si="12"/>
        <v>15.03</v>
      </c>
      <c r="M297" s="2">
        <f t="shared" si="13"/>
        <v>4245.0599999999995</v>
      </c>
      <c r="N297" s="2">
        <f t="shared" si="14"/>
        <v>2089.17</v>
      </c>
    </row>
    <row r="298" spans="1:14">
      <c r="A298" t="s">
        <v>405</v>
      </c>
      <c r="B298" t="s">
        <v>406</v>
      </c>
      <c r="C298" t="s">
        <v>18</v>
      </c>
      <c r="D298" t="s">
        <v>24</v>
      </c>
      <c r="E298" s="2">
        <v>2.87</v>
      </c>
      <c r="F298" s="2">
        <v>4.8099999999999996</v>
      </c>
      <c r="G298" s="3">
        <v>77</v>
      </c>
      <c r="H298" s="3">
        <v>60</v>
      </c>
      <c r="I298" s="3">
        <v>17</v>
      </c>
      <c r="J298" s="3">
        <v>17</v>
      </c>
      <c r="K298" t="s">
        <v>15</v>
      </c>
      <c r="L298" s="2">
        <f t="shared" si="12"/>
        <v>1.9399999999999995</v>
      </c>
      <c r="M298" s="2">
        <f t="shared" si="13"/>
        <v>288.59999999999997</v>
      </c>
      <c r="N298" s="2">
        <f t="shared" si="14"/>
        <v>116.39999999999998</v>
      </c>
    </row>
    <row r="299" spans="1:14">
      <c r="A299" t="s">
        <v>407</v>
      </c>
      <c r="B299" t="s">
        <v>114</v>
      </c>
      <c r="C299" t="s">
        <v>53</v>
      </c>
      <c r="D299" t="s">
        <v>77</v>
      </c>
      <c r="E299" s="2">
        <v>13.12</v>
      </c>
      <c r="F299" s="2">
        <v>23.27</v>
      </c>
      <c r="G299" s="3">
        <v>211</v>
      </c>
      <c r="H299" s="3">
        <v>109</v>
      </c>
      <c r="I299" s="3">
        <v>102</v>
      </c>
      <c r="J299" s="3">
        <v>50</v>
      </c>
      <c r="K299" t="s">
        <v>20</v>
      </c>
      <c r="L299" s="2">
        <f t="shared" si="12"/>
        <v>10.15</v>
      </c>
      <c r="M299" s="2">
        <f t="shared" si="13"/>
        <v>2536.4299999999998</v>
      </c>
      <c r="N299" s="2">
        <f t="shared" si="14"/>
        <v>1106.3500000000001</v>
      </c>
    </row>
    <row r="300" spans="1:14">
      <c r="A300" t="s">
        <v>408</v>
      </c>
      <c r="B300" t="s">
        <v>85</v>
      </c>
      <c r="C300" t="s">
        <v>27</v>
      </c>
      <c r="D300" t="s">
        <v>39</v>
      </c>
      <c r="E300" s="2">
        <v>14.1</v>
      </c>
      <c r="F300" s="2">
        <v>22.51</v>
      </c>
      <c r="G300" s="3">
        <v>458</v>
      </c>
      <c r="H300" s="3">
        <v>157</v>
      </c>
      <c r="I300" s="3">
        <v>301</v>
      </c>
      <c r="J300" s="3">
        <v>85</v>
      </c>
      <c r="K300" t="s">
        <v>20</v>
      </c>
      <c r="L300" s="2">
        <f t="shared" si="12"/>
        <v>8.4100000000000019</v>
      </c>
      <c r="M300" s="2">
        <f t="shared" si="13"/>
        <v>3534.07</v>
      </c>
      <c r="N300" s="2">
        <f t="shared" si="14"/>
        <v>1320.3700000000003</v>
      </c>
    </row>
    <row r="301" spans="1:14">
      <c r="A301" t="s">
        <v>409</v>
      </c>
      <c r="B301" t="s">
        <v>83</v>
      </c>
      <c r="C301" t="s">
        <v>47</v>
      </c>
      <c r="D301" t="s">
        <v>100</v>
      </c>
      <c r="E301" s="2">
        <v>9.77</v>
      </c>
      <c r="F301" s="2">
        <v>13.09</v>
      </c>
      <c r="G301" s="3">
        <v>480</v>
      </c>
      <c r="H301" s="3">
        <v>412</v>
      </c>
      <c r="I301" s="3">
        <v>68</v>
      </c>
      <c r="J301" s="3">
        <v>78</v>
      </c>
      <c r="K301" t="s">
        <v>15</v>
      </c>
      <c r="L301" s="2">
        <f t="shared" si="12"/>
        <v>3.3200000000000003</v>
      </c>
      <c r="M301" s="2">
        <f t="shared" si="13"/>
        <v>5393.08</v>
      </c>
      <c r="N301" s="2">
        <f t="shared" si="14"/>
        <v>1367.8400000000001</v>
      </c>
    </row>
    <row r="302" spans="1:14">
      <c r="A302" t="s">
        <v>410</v>
      </c>
      <c r="B302" t="s">
        <v>167</v>
      </c>
      <c r="C302" t="s">
        <v>88</v>
      </c>
      <c r="D302" t="s">
        <v>77</v>
      </c>
      <c r="E302" s="2">
        <v>52.97</v>
      </c>
      <c r="F302" s="2">
        <v>90.15</v>
      </c>
      <c r="G302" s="3">
        <v>301</v>
      </c>
      <c r="H302" s="3">
        <v>236</v>
      </c>
      <c r="I302" s="3">
        <v>65</v>
      </c>
      <c r="J302" s="3">
        <v>71</v>
      </c>
      <c r="K302" t="s">
        <v>15</v>
      </c>
      <c r="L302" s="2">
        <f t="shared" si="12"/>
        <v>37.180000000000007</v>
      </c>
      <c r="M302" s="2">
        <f t="shared" si="13"/>
        <v>21275.4</v>
      </c>
      <c r="N302" s="2">
        <f t="shared" si="14"/>
        <v>8774.4800000000014</v>
      </c>
    </row>
    <row r="303" spans="1:14">
      <c r="A303" t="s">
        <v>411</v>
      </c>
      <c r="B303" t="s">
        <v>62</v>
      </c>
      <c r="C303" t="s">
        <v>13</v>
      </c>
      <c r="D303" t="s">
        <v>77</v>
      </c>
      <c r="E303" s="2">
        <v>7.51</v>
      </c>
      <c r="F303" s="2">
        <v>15.1</v>
      </c>
      <c r="G303" s="3">
        <v>259</v>
      </c>
      <c r="H303" s="3">
        <v>56</v>
      </c>
      <c r="I303" s="3">
        <v>203</v>
      </c>
      <c r="J303" s="3">
        <v>50</v>
      </c>
      <c r="K303" t="s">
        <v>20</v>
      </c>
      <c r="L303" s="2">
        <f t="shared" si="12"/>
        <v>7.59</v>
      </c>
      <c r="M303" s="2">
        <f t="shared" si="13"/>
        <v>845.6</v>
      </c>
      <c r="N303" s="2">
        <f t="shared" si="14"/>
        <v>425.03999999999996</v>
      </c>
    </row>
    <row r="304" spans="1:14">
      <c r="A304" t="s">
        <v>412</v>
      </c>
      <c r="B304" t="s">
        <v>69</v>
      </c>
      <c r="C304" t="s">
        <v>23</v>
      </c>
      <c r="D304" t="s">
        <v>24</v>
      </c>
      <c r="E304" s="2">
        <v>14.61</v>
      </c>
      <c r="F304" s="2">
        <v>19.39</v>
      </c>
      <c r="G304" s="3">
        <v>32</v>
      </c>
      <c r="H304" s="3">
        <v>9</v>
      </c>
      <c r="I304" s="3">
        <v>23</v>
      </c>
      <c r="J304" s="3">
        <v>5</v>
      </c>
      <c r="K304" t="s">
        <v>20</v>
      </c>
      <c r="L304" s="2">
        <f t="shared" si="12"/>
        <v>4.7800000000000011</v>
      </c>
      <c r="M304" s="2">
        <f t="shared" si="13"/>
        <v>174.51</v>
      </c>
      <c r="N304" s="2">
        <f t="shared" si="14"/>
        <v>43.02000000000001</v>
      </c>
    </row>
    <row r="305" spans="1:14">
      <c r="A305" t="s">
        <v>413</v>
      </c>
      <c r="B305" t="s">
        <v>116</v>
      </c>
      <c r="C305" t="s">
        <v>23</v>
      </c>
      <c r="D305" t="s">
        <v>39</v>
      </c>
      <c r="E305" s="2">
        <v>7.42</v>
      </c>
      <c r="F305" s="2">
        <v>12.12</v>
      </c>
      <c r="G305" s="3">
        <v>93</v>
      </c>
      <c r="H305" s="3">
        <v>17</v>
      </c>
      <c r="I305" s="3">
        <v>76</v>
      </c>
      <c r="J305" s="3">
        <v>21</v>
      </c>
      <c r="K305" t="s">
        <v>20</v>
      </c>
      <c r="L305" s="2">
        <f t="shared" si="12"/>
        <v>4.6999999999999993</v>
      </c>
      <c r="M305" s="2">
        <f t="shared" si="13"/>
        <v>206.04</v>
      </c>
      <c r="N305" s="2">
        <f t="shared" si="14"/>
        <v>79.899999999999991</v>
      </c>
    </row>
    <row r="306" spans="1:14">
      <c r="A306" t="s">
        <v>414</v>
      </c>
      <c r="B306" t="s">
        <v>94</v>
      </c>
      <c r="C306" t="s">
        <v>33</v>
      </c>
      <c r="D306" t="s">
        <v>77</v>
      </c>
      <c r="E306" s="2">
        <v>2.88</v>
      </c>
      <c r="F306" s="2">
        <v>4.03</v>
      </c>
      <c r="G306" s="3">
        <v>321</v>
      </c>
      <c r="H306" s="3">
        <v>215</v>
      </c>
      <c r="I306" s="3">
        <v>106</v>
      </c>
      <c r="J306" s="3">
        <v>74</v>
      </c>
      <c r="K306" t="s">
        <v>20</v>
      </c>
      <c r="L306" s="2">
        <f t="shared" si="12"/>
        <v>1.1500000000000004</v>
      </c>
      <c r="M306" s="2">
        <f t="shared" si="13"/>
        <v>866.45</v>
      </c>
      <c r="N306" s="2">
        <f t="shared" si="14"/>
        <v>247.25000000000009</v>
      </c>
    </row>
    <row r="307" spans="1:14">
      <c r="A307" t="s">
        <v>415</v>
      </c>
      <c r="B307" t="s">
        <v>229</v>
      </c>
      <c r="C307" t="s">
        <v>88</v>
      </c>
      <c r="D307" t="s">
        <v>54</v>
      </c>
      <c r="E307" s="2">
        <v>20.079999999999998</v>
      </c>
      <c r="F307" s="2">
        <v>40.9</v>
      </c>
      <c r="G307" s="3">
        <v>69</v>
      </c>
      <c r="H307" s="3">
        <v>54</v>
      </c>
      <c r="I307" s="3">
        <v>15</v>
      </c>
      <c r="J307" s="3">
        <v>14</v>
      </c>
      <c r="K307" t="s">
        <v>20</v>
      </c>
      <c r="L307" s="2">
        <f t="shared" si="12"/>
        <v>20.82</v>
      </c>
      <c r="M307" s="2">
        <f t="shared" si="13"/>
        <v>2208.6</v>
      </c>
      <c r="N307" s="2">
        <f t="shared" si="14"/>
        <v>1124.28</v>
      </c>
    </row>
    <row r="308" spans="1:14">
      <c r="A308" t="s">
        <v>416</v>
      </c>
      <c r="B308" t="s">
        <v>35</v>
      </c>
      <c r="C308" t="s">
        <v>13</v>
      </c>
      <c r="D308" t="s">
        <v>48</v>
      </c>
      <c r="E308" s="2">
        <v>21.68</v>
      </c>
      <c r="F308" s="2">
        <v>43.86</v>
      </c>
      <c r="G308" s="3">
        <v>198</v>
      </c>
      <c r="H308" s="3">
        <v>58</v>
      </c>
      <c r="I308" s="3">
        <v>140</v>
      </c>
      <c r="J308" s="3">
        <v>22</v>
      </c>
      <c r="K308" t="s">
        <v>20</v>
      </c>
      <c r="L308" s="2">
        <f t="shared" si="12"/>
        <v>22.18</v>
      </c>
      <c r="M308" s="2">
        <f t="shared" si="13"/>
        <v>2543.88</v>
      </c>
      <c r="N308" s="2">
        <f t="shared" si="14"/>
        <v>1286.44</v>
      </c>
    </row>
    <row r="309" spans="1:14">
      <c r="A309" t="s">
        <v>417</v>
      </c>
      <c r="B309" t="s">
        <v>90</v>
      </c>
      <c r="C309" t="s">
        <v>88</v>
      </c>
      <c r="D309" t="s">
        <v>28</v>
      </c>
      <c r="E309" s="2">
        <v>7.98</v>
      </c>
      <c r="F309" s="2">
        <v>16.899999999999999</v>
      </c>
      <c r="G309" s="3">
        <v>327</v>
      </c>
      <c r="H309" s="3">
        <v>81</v>
      </c>
      <c r="I309" s="3">
        <v>246</v>
      </c>
      <c r="J309" s="3">
        <v>47</v>
      </c>
      <c r="K309" t="s">
        <v>20</v>
      </c>
      <c r="L309" s="2">
        <f t="shared" si="12"/>
        <v>8.9199999999999982</v>
      </c>
      <c r="M309" s="2">
        <f t="shared" si="13"/>
        <v>1368.8999999999999</v>
      </c>
      <c r="N309" s="2">
        <f t="shared" si="14"/>
        <v>722.51999999999987</v>
      </c>
    </row>
    <row r="310" spans="1:14">
      <c r="A310" t="s">
        <v>418</v>
      </c>
      <c r="B310" t="s">
        <v>79</v>
      </c>
      <c r="C310" t="s">
        <v>13</v>
      </c>
      <c r="D310" t="s">
        <v>100</v>
      </c>
      <c r="E310" s="2">
        <v>10.96</v>
      </c>
      <c r="F310" s="2">
        <v>20.34</v>
      </c>
      <c r="G310" s="3">
        <v>442</v>
      </c>
      <c r="H310" s="3">
        <v>373</v>
      </c>
      <c r="I310" s="3">
        <v>69</v>
      </c>
      <c r="J310" s="3">
        <v>56</v>
      </c>
      <c r="K310" t="s">
        <v>20</v>
      </c>
      <c r="L310" s="2">
        <f t="shared" si="12"/>
        <v>9.379999999999999</v>
      </c>
      <c r="M310" s="2">
        <f t="shared" si="13"/>
        <v>7586.82</v>
      </c>
      <c r="N310" s="2">
        <f t="shared" si="14"/>
        <v>3498.74</v>
      </c>
    </row>
    <row r="311" spans="1:14">
      <c r="A311" t="s">
        <v>419</v>
      </c>
      <c r="B311" t="s">
        <v>220</v>
      </c>
      <c r="C311" t="s">
        <v>23</v>
      </c>
      <c r="D311" t="s">
        <v>24</v>
      </c>
      <c r="E311" s="2">
        <v>24.93</v>
      </c>
      <c r="F311" s="2">
        <v>42.84</v>
      </c>
      <c r="G311" s="3">
        <v>130</v>
      </c>
      <c r="H311" s="3">
        <v>111</v>
      </c>
      <c r="I311" s="3">
        <v>19</v>
      </c>
      <c r="J311" s="3">
        <v>30</v>
      </c>
      <c r="K311" t="s">
        <v>15</v>
      </c>
      <c r="L311" s="2">
        <f t="shared" si="12"/>
        <v>17.910000000000004</v>
      </c>
      <c r="M311" s="2">
        <f t="shared" si="13"/>
        <v>4755.2400000000007</v>
      </c>
      <c r="N311" s="2">
        <f t="shared" si="14"/>
        <v>1988.0100000000004</v>
      </c>
    </row>
    <row r="312" spans="1:14">
      <c r="A312" t="s">
        <v>420</v>
      </c>
      <c r="B312" t="s">
        <v>421</v>
      </c>
      <c r="C312" t="s">
        <v>33</v>
      </c>
      <c r="D312" t="s">
        <v>24</v>
      </c>
      <c r="E312" s="2">
        <v>8.24</v>
      </c>
      <c r="F312" s="2">
        <v>16.43</v>
      </c>
      <c r="G312" s="3">
        <v>247</v>
      </c>
      <c r="H312" s="3">
        <v>70</v>
      </c>
      <c r="I312" s="3">
        <v>177</v>
      </c>
      <c r="J312" s="3">
        <v>37</v>
      </c>
      <c r="K312" t="s">
        <v>20</v>
      </c>
      <c r="L312" s="2">
        <f t="shared" si="12"/>
        <v>8.19</v>
      </c>
      <c r="M312" s="2">
        <f t="shared" si="13"/>
        <v>1150.0999999999999</v>
      </c>
      <c r="N312" s="2">
        <f t="shared" si="14"/>
        <v>573.29999999999995</v>
      </c>
    </row>
    <row r="313" spans="1:14">
      <c r="A313" t="s">
        <v>422</v>
      </c>
      <c r="B313" t="s">
        <v>190</v>
      </c>
      <c r="C313" t="s">
        <v>18</v>
      </c>
      <c r="D313" t="s">
        <v>77</v>
      </c>
      <c r="E313" s="2">
        <v>19.600000000000001</v>
      </c>
      <c r="F313" s="2">
        <v>37.42</v>
      </c>
      <c r="G313" s="3">
        <v>293</v>
      </c>
      <c r="H313" s="3">
        <v>81</v>
      </c>
      <c r="I313" s="3">
        <v>212</v>
      </c>
      <c r="J313" s="3">
        <v>55</v>
      </c>
      <c r="K313" t="s">
        <v>20</v>
      </c>
      <c r="L313" s="2">
        <f t="shared" si="12"/>
        <v>17.82</v>
      </c>
      <c r="M313" s="2">
        <f t="shared" si="13"/>
        <v>3031.02</v>
      </c>
      <c r="N313" s="2">
        <f t="shared" si="14"/>
        <v>1443.42</v>
      </c>
    </row>
    <row r="314" spans="1:14">
      <c r="A314" t="s">
        <v>423</v>
      </c>
      <c r="B314" t="s">
        <v>60</v>
      </c>
      <c r="C314" t="s">
        <v>47</v>
      </c>
      <c r="D314" t="s">
        <v>48</v>
      </c>
      <c r="E314" s="2">
        <v>6.18</v>
      </c>
      <c r="F314" s="2">
        <v>10.83</v>
      </c>
      <c r="G314" s="3">
        <v>137</v>
      </c>
      <c r="H314" s="3">
        <v>52</v>
      </c>
      <c r="I314" s="3">
        <v>85</v>
      </c>
      <c r="J314" s="3">
        <v>19</v>
      </c>
      <c r="K314" t="s">
        <v>20</v>
      </c>
      <c r="L314" s="2">
        <f t="shared" si="12"/>
        <v>4.6500000000000004</v>
      </c>
      <c r="M314" s="2">
        <f t="shared" si="13"/>
        <v>563.16</v>
      </c>
      <c r="N314" s="2">
        <f t="shared" si="14"/>
        <v>241.8</v>
      </c>
    </row>
    <row r="315" spans="1:14">
      <c r="A315" t="s">
        <v>424</v>
      </c>
      <c r="B315" t="s">
        <v>172</v>
      </c>
      <c r="C315" t="s">
        <v>18</v>
      </c>
      <c r="D315" t="s">
        <v>42</v>
      </c>
      <c r="E315" s="2">
        <v>6.53</v>
      </c>
      <c r="F315" s="2">
        <v>10.9</v>
      </c>
      <c r="G315" s="3">
        <v>335</v>
      </c>
      <c r="H315" s="3">
        <v>243</v>
      </c>
      <c r="I315" s="3">
        <v>92</v>
      </c>
      <c r="J315" s="3">
        <v>79</v>
      </c>
      <c r="K315" t="s">
        <v>20</v>
      </c>
      <c r="L315" s="2">
        <f t="shared" si="12"/>
        <v>4.37</v>
      </c>
      <c r="M315" s="2">
        <f t="shared" si="13"/>
        <v>2648.7000000000003</v>
      </c>
      <c r="N315" s="2">
        <f t="shared" si="14"/>
        <v>1061.9100000000001</v>
      </c>
    </row>
    <row r="316" spans="1:14">
      <c r="A316" t="s">
        <v>425</v>
      </c>
      <c r="B316" t="s">
        <v>128</v>
      </c>
      <c r="C316" t="s">
        <v>53</v>
      </c>
      <c r="D316" t="s">
        <v>54</v>
      </c>
      <c r="E316" s="2">
        <v>28.78</v>
      </c>
      <c r="F316" s="2">
        <v>47.33</v>
      </c>
      <c r="G316" s="3">
        <v>74</v>
      </c>
      <c r="H316" s="3">
        <v>44</v>
      </c>
      <c r="I316" s="3">
        <v>30</v>
      </c>
      <c r="J316" s="3">
        <v>15</v>
      </c>
      <c r="K316" t="s">
        <v>20</v>
      </c>
      <c r="L316" s="2">
        <f t="shared" si="12"/>
        <v>18.549999999999997</v>
      </c>
      <c r="M316" s="2">
        <f t="shared" si="13"/>
        <v>2082.52</v>
      </c>
      <c r="N316" s="2">
        <f t="shared" si="14"/>
        <v>816.19999999999982</v>
      </c>
    </row>
    <row r="317" spans="1:14">
      <c r="A317" t="s">
        <v>426</v>
      </c>
      <c r="B317" t="s">
        <v>186</v>
      </c>
      <c r="C317" t="s">
        <v>13</v>
      </c>
      <c r="D317" t="s">
        <v>24</v>
      </c>
      <c r="E317" s="2">
        <v>4.7699999999999996</v>
      </c>
      <c r="F317" s="2">
        <v>8.43</v>
      </c>
      <c r="G317" s="3">
        <v>429</v>
      </c>
      <c r="H317" s="3">
        <v>145</v>
      </c>
      <c r="I317" s="3">
        <v>284</v>
      </c>
      <c r="J317" s="3">
        <v>53</v>
      </c>
      <c r="K317" t="s">
        <v>20</v>
      </c>
      <c r="L317" s="2">
        <f t="shared" si="12"/>
        <v>3.66</v>
      </c>
      <c r="M317" s="2">
        <f t="shared" si="13"/>
        <v>1222.3499999999999</v>
      </c>
      <c r="N317" s="2">
        <f t="shared" si="14"/>
        <v>530.70000000000005</v>
      </c>
    </row>
    <row r="318" spans="1:14">
      <c r="A318" t="s">
        <v>427</v>
      </c>
      <c r="B318" t="s">
        <v>46</v>
      </c>
      <c r="C318" t="s">
        <v>47</v>
      </c>
      <c r="D318" t="s">
        <v>54</v>
      </c>
      <c r="E318" s="2">
        <v>5.19</v>
      </c>
      <c r="F318" s="2">
        <v>9.69</v>
      </c>
      <c r="G318" s="3">
        <v>447</v>
      </c>
      <c r="H318" s="3">
        <v>205</v>
      </c>
      <c r="I318" s="3">
        <v>242</v>
      </c>
      <c r="J318" s="3">
        <v>69</v>
      </c>
      <c r="K318" t="s">
        <v>20</v>
      </c>
      <c r="L318" s="2">
        <f t="shared" si="12"/>
        <v>4.4999999999999991</v>
      </c>
      <c r="M318" s="2">
        <f t="shared" si="13"/>
        <v>1986.4499999999998</v>
      </c>
      <c r="N318" s="2">
        <f t="shared" si="14"/>
        <v>922.49999999999977</v>
      </c>
    </row>
    <row r="319" spans="1:14">
      <c r="A319" t="s">
        <v>428</v>
      </c>
      <c r="B319" t="s">
        <v>164</v>
      </c>
      <c r="C319" t="s">
        <v>18</v>
      </c>
      <c r="D319" t="s">
        <v>42</v>
      </c>
      <c r="E319" s="2">
        <v>1.25</v>
      </c>
      <c r="F319" s="2">
        <v>1.81</v>
      </c>
      <c r="G319" s="3">
        <v>468</v>
      </c>
      <c r="H319" s="3">
        <v>301</v>
      </c>
      <c r="I319" s="3">
        <v>167</v>
      </c>
      <c r="J319" s="3">
        <v>58</v>
      </c>
      <c r="K319" t="s">
        <v>20</v>
      </c>
      <c r="L319" s="2">
        <f t="shared" si="12"/>
        <v>0.56000000000000005</v>
      </c>
      <c r="M319" s="2">
        <f t="shared" si="13"/>
        <v>544.81000000000006</v>
      </c>
      <c r="N319" s="2">
        <f t="shared" si="14"/>
        <v>168.56</v>
      </c>
    </row>
    <row r="320" spans="1:14">
      <c r="A320" t="s">
        <v>429</v>
      </c>
      <c r="B320" t="s">
        <v>272</v>
      </c>
      <c r="C320" t="s">
        <v>47</v>
      </c>
      <c r="D320" t="s">
        <v>28</v>
      </c>
      <c r="E320" s="2">
        <v>2.44</v>
      </c>
      <c r="F320" s="2">
        <v>4.09</v>
      </c>
      <c r="G320" s="3">
        <v>184</v>
      </c>
      <c r="H320" s="3">
        <v>48</v>
      </c>
      <c r="I320" s="3">
        <v>136</v>
      </c>
      <c r="J320" s="3">
        <v>41</v>
      </c>
      <c r="K320" t="s">
        <v>20</v>
      </c>
      <c r="L320" s="2">
        <f t="shared" si="12"/>
        <v>1.65</v>
      </c>
      <c r="M320" s="2">
        <f t="shared" si="13"/>
        <v>196.32</v>
      </c>
      <c r="N320" s="2">
        <f t="shared" si="14"/>
        <v>79.199999999999989</v>
      </c>
    </row>
    <row r="321" spans="1:14">
      <c r="A321" t="s">
        <v>430</v>
      </c>
      <c r="B321" t="s">
        <v>169</v>
      </c>
      <c r="C321" t="s">
        <v>53</v>
      </c>
      <c r="D321" t="s">
        <v>19</v>
      </c>
      <c r="E321" s="2">
        <v>24.29</v>
      </c>
      <c r="F321" s="2">
        <v>33.9</v>
      </c>
      <c r="G321" s="3">
        <v>101</v>
      </c>
      <c r="H321" s="3">
        <v>46</v>
      </c>
      <c r="I321" s="3">
        <v>55</v>
      </c>
      <c r="J321" s="3">
        <v>21</v>
      </c>
      <c r="K321" t="s">
        <v>20</v>
      </c>
      <c r="L321" s="2">
        <f t="shared" si="12"/>
        <v>9.61</v>
      </c>
      <c r="M321" s="2">
        <f t="shared" si="13"/>
        <v>1559.3999999999999</v>
      </c>
      <c r="N321" s="2">
        <f t="shared" si="14"/>
        <v>442.05999999999995</v>
      </c>
    </row>
    <row r="322" spans="1:14">
      <c r="A322" t="s">
        <v>431</v>
      </c>
      <c r="B322" t="s">
        <v>167</v>
      </c>
      <c r="C322" t="s">
        <v>88</v>
      </c>
      <c r="D322" t="s">
        <v>14</v>
      </c>
      <c r="E322" s="2">
        <v>56.25</v>
      </c>
      <c r="F322" s="2">
        <v>82.79</v>
      </c>
      <c r="G322" s="3">
        <v>141</v>
      </c>
      <c r="H322" s="3">
        <v>129</v>
      </c>
      <c r="I322" s="3">
        <v>12</v>
      </c>
      <c r="J322" s="3">
        <v>28</v>
      </c>
      <c r="K322" t="s">
        <v>15</v>
      </c>
      <c r="L322" s="2">
        <f t="shared" si="12"/>
        <v>26.540000000000006</v>
      </c>
      <c r="M322" s="2">
        <f t="shared" si="13"/>
        <v>10679.910000000002</v>
      </c>
      <c r="N322" s="2">
        <f t="shared" si="14"/>
        <v>3423.6600000000008</v>
      </c>
    </row>
    <row r="323" spans="1:14">
      <c r="A323" t="s">
        <v>432</v>
      </c>
      <c r="B323" t="s">
        <v>30</v>
      </c>
      <c r="C323" t="s">
        <v>13</v>
      </c>
      <c r="D323" t="s">
        <v>77</v>
      </c>
      <c r="E323" s="2">
        <v>7.98</v>
      </c>
      <c r="F323" s="2">
        <v>10.76</v>
      </c>
      <c r="G323" s="3">
        <v>199</v>
      </c>
      <c r="H323" s="3">
        <v>164</v>
      </c>
      <c r="I323" s="3">
        <v>35</v>
      </c>
      <c r="J323" s="3">
        <v>30</v>
      </c>
      <c r="K323" t="s">
        <v>20</v>
      </c>
      <c r="L323" s="2">
        <f t="shared" ref="L323:L386" si="15">F323-E323</f>
        <v>2.7799999999999994</v>
      </c>
      <c r="M323" s="2">
        <f t="shared" ref="M323:M386" si="16">H323*F323</f>
        <v>1764.6399999999999</v>
      </c>
      <c r="N323" s="2">
        <f t="shared" ref="N323:N386" si="17">H323*L323</f>
        <v>455.9199999999999</v>
      </c>
    </row>
    <row r="324" spans="1:14">
      <c r="A324" t="s">
        <v>433</v>
      </c>
      <c r="B324" t="s">
        <v>227</v>
      </c>
      <c r="C324" t="s">
        <v>27</v>
      </c>
      <c r="D324" t="s">
        <v>14</v>
      </c>
      <c r="E324" s="2">
        <v>9.11</v>
      </c>
      <c r="F324" s="2">
        <v>19.87</v>
      </c>
      <c r="G324" s="3">
        <v>250</v>
      </c>
      <c r="H324" s="3">
        <v>96</v>
      </c>
      <c r="I324" s="3">
        <v>154</v>
      </c>
      <c r="J324" s="3">
        <v>58</v>
      </c>
      <c r="K324" t="s">
        <v>20</v>
      </c>
      <c r="L324" s="2">
        <f t="shared" si="15"/>
        <v>10.760000000000002</v>
      </c>
      <c r="M324" s="2">
        <f t="shared" si="16"/>
        <v>1907.52</v>
      </c>
      <c r="N324" s="2">
        <f t="shared" si="17"/>
        <v>1032.96</v>
      </c>
    </row>
    <row r="325" spans="1:14">
      <c r="A325" t="s">
        <v>434</v>
      </c>
      <c r="B325" t="s">
        <v>37</v>
      </c>
      <c r="C325" t="s">
        <v>23</v>
      </c>
      <c r="D325" t="s">
        <v>28</v>
      </c>
      <c r="E325" s="2">
        <v>1.38</v>
      </c>
      <c r="F325" s="2">
        <v>2.96</v>
      </c>
      <c r="G325" s="3">
        <v>485</v>
      </c>
      <c r="H325" s="3">
        <v>296</v>
      </c>
      <c r="I325" s="3">
        <v>189</v>
      </c>
      <c r="J325" s="3">
        <v>88</v>
      </c>
      <c r="K325" t="s">
        <v>20</v>
      </c>
      <c r="L325" s="2">
        <f t="shared" si="15"/>
        <v>1.58</v>
      </c>
      <c r="M325" s="2">
        <f t="shared" si="16"/>
        <v>876.16</v>
      </c>
      <c r="N325" s="2">
        <f t="shared" si="17"/>
        <v>467.68</v>
      </c>
    </row>
    <row r="326" spans="1:14">
      <c r="A326" t="s">
        <v>435</v>
      </c>
      <c r="B326" t="s">
        <v>128</v>
      </c>
      <c r="C326" t="s">
        <v>53</v>
      </c>
      <c r="D326" t="s">
        <v>28</v>
      </c>
      <c r="E326" s="2">
        <v>26.15</v>
      </c>
      <c r="F326" s="2">
        <v>50.63</v>
      </c>
      <c r="G326" s="3">
        <v>33</v>
      </c>
      <c r="H326" s="3">
        <v>10</v>
      </c>
      <c r="I326" s="3">
        <v>23</v>
      </c>
      <c r="J326" s="3">
        <v>4</v>
      </c>
      <c r="K326" t="s">
        <v>20</v>
      </c>
      <c r="L326" s="2">
        <f t="shared" si="15"/>
        <v>24.480000000000004</v>
      </c>
      <c r="M326" s="2">
        <f t="shared" si="16"/>
        <v>506.3</v>
      </c>
      <c r="N326" s="2">
        <f t="shared" si="17"/>
        <v>244.80000000000004</v>
      </c>
    </row>
    <row r="327" spans="1:14">
      <c r="A327" t="s">
        <v>436</v>
      </c>
      <c r="B327" t="s">
        <v>66</v>
      </c>
      <c r="C327" t="s">
        <v>18</v>
      </c>
      <c r="D327" t="s">
        <v>48</v>
      </c>
      <c r="E327" s="2">
        <v>2.57</v>
      </c>
      <c r="F327" s="2">
        <v>3.93</v>
      </c>
      <c r="G327" s="3">
        <v>45</v>
      </c>
      <c r="H327" s="3">
        <v>26</v>
      </c>
      <c r="I327" s="3">
        <v>19</v>
      </c>
      <c r="J327" s="3">
        <v>8</v>
      </c>
      <c r="K327" t="s">
        <v>20</v>
      </c>
      <c r="L327" s="2">
        <f t="shared" si="15"/>
        <v>1.3600000000000003</v>
      </c>
      <c r="M327" s="2">
        <f t="shared" si="16"/>
        <v>102.18</v>
      </c>
      <c r="N327" s="2">
        <f t="shared" si="17"/>
        <v>35.360000000000007</v>
      </c>
    </row>
    <row r="328" spans="1:14">
      <c r="A328" t="s">
        <v>437</v>
      </c>
      <c r="B328" t="s">
        <v>156</v>
      </c>
      <c r="C328" t="s">
        <v>47</v>
      </c>
      <c r="D328" t="s">
        <v>100</v>
      </c>
      <c r="E328" s="2">
        <v>9.39</v>
      </c>
      <c r="F328" s="2">
        <v>16.47</v>
      </c>
      <c r="G328" s="3">
        <v>70</v>
      </c>
      <c r="H328" s="3">
        <v>52</v>
      </c>
      <c r="I328" s="3">
        <v>18</v>
      </c>
      <c r="J328" s="3">
        <v>9</v>
      </c>
      <c r="K328" t="s">
        <v>20</v>
      </c>
      <c r="L328" s="2">
        <f t="shared" si="15"/>
        <v>7.0799999999999983</v>
      </c>
      <c r="M328" s="2">
        <f t="shared" si="16"/>
        <v>856.43999999999994</v>
      </c>
      <c r="N328" s="2">
        <f t="shared" si="17"/>
        <v>368.15999999999991</v>
      </c>
    </row>
    <row r="329" spans="1:14">
      <c r="A329" t="s">
        <v>438</v>
      </c>
      <c r="B329" t="s">
        <v>37</v>
      </c>
      <c r="C329" t="s">
        <v>23</v>
      </c>
      <c r="D329" t="s">
        <v>42</v>
      </c>
      <c r="E329" s="2">
        <v>17.66</v>
      </c>
      <c r="F329" s="2">
        <v>28.54</v>
      </c>
      <c r="G329" s="3">
        <v>240</v>
      </c>
      <c r="H329" s="3">
        <v>178</v>
      </c>
      <c r="I329" s="3">
        <v>62</v>
      </c>
      <c r="J329" s="3">
        <v>26</v>
      </c>
      <c r="K329" t="s">
        <v>20</v>
      </c>
      <c r="L329" s="2">
        <f t="shared" si="15"/>
        <v>10.879999999999999</v>
      </c>
      <c r="M329" s="2">
        <f t="shared" si="16"/>
        <v>5080.12</v>
      </c>
      <c r="N329" s="2">
        <f t="shared" si="17"/>
        <v>1936.6399999999999</v>
      </c>
    </row>
    <row r="330" spans="1:14">
      <c r="A330" t="s">
        <v>439</v>
      </c>
      <c r="B330" t="s">
        <v>32</v>
      </c>
      <c r="C330" t="s">
        <v>33</v>
      </c>
      <c r="D330" t="s">
        <v>28</v>
      </c>
      <c r="E330" s="2">
        <v>3.76</v>
      </c>
      <c r="F330" s="2">
        <v>4.97</v>
      </c>
      <c r="G330" s="3">
        <v>108</v>
      </c>
      <c r="H330" s="3">
        <v>101</v>
      </c>
      <c r="I330" s="3">
        <v>7</v>
      </c>
      <c r="J330" s="3">
        <v>12</v>
      </c>
      <c r="K330" t="s">
        <v>15</v>
      </c>
      <c r="L330" s="2">
        <f t="shared" si="15"/>
        <v>1.21</v>
      </c>
      <c r="M330" s="2">
        <f t="shared" si="16"/>
        <v>501.96999999999997</v>
      </c>
      <c r="N330" s="2">
        <f t="shared" si="17"/>
        <v>122.21</v>
      </c>
    </row>
    <row r="331" spans="1:14">
      <c r="A331" t="s">
        <v>440</v>
      </c>
      <c r="B331" t="s">
        <v>114</v>
      </c>
      <c r="C331" t="s">
        <v>53</v>
      </c>
      <c r="D331" t="s">
        <v>77</v>
      </c>
      <c r="E331" s="2">
        <v>33.5</v>
      </c>
      <c r="F331" s="2">
        <v>66.38</v>
      </c>
      <c r="G331" s="3">
        <v>411</v>
      </c>
      <c r="H331" s="3">
        <v>382</v>
      </c>
      <c r="I331" s="3">
        <v>29</v>
      </c>
      <c r="J331" s="3">
        <v>63</v>
      </c>
      <c r="K331" t="s">
        <v>15</v>
      </c>
      <c r="L331" s="2">
        <f t="shared" si="15"/>
        <v>32.879999999999995</v>
      </c>
      <c r="M331" s="2">
        <f t="shared" si="16"/>
        <v>25357.16</v>
      </c>
      <c r="N331" s="2">
        <f t="shared" si="17"/>
        <v>12560.159999999998</v>
      </c>
    </row>
    <row r="332" spans="1:14">
      <c r="A332" t="s">
        <v>441</v>
      </c>
      <c r="B332" t="s">
        <v>183</v>
      </c>
      <c r="C332" t="s">
        <v>53</v>
      </c>
      <c r="D332" t="s">
        <v>77</v>
      </c>
      <c r="E332" s="2">
        <v>34.229999999999997</v>
      </c>
      <c r="F332" s="2">
        <v>67.739999999999995</v>
      </c>
      <c r="G332" s="3">
        <v>52</v>
      </c>
      <c r="H332" s="3">
        <v>36</v>
      </c>
      <c r="I332" s="3">
        <v>16</v>
      </c>
      <c r="J332" s="3">
        <v>12</v>
      </c>
      <c r="K332" t="s">
        <v>20</v>
      </c>
      <c r="L332" s="2">
        <f t="shared" si="15"/>
        <v>33.51</v>
      </c>
      <c r="M332" s="2">
        <f t="shared" si="16"/>
        <v>2438.64</v>
      </c>
      <c r="N332" s="2">
        <f t="shared" si="17"/>
        <v>1206.3599999999999</v>
      </c>
    </row>
    <row r="333" spans="1:14">
      <c r="A333" t="s">
        <v>442</v>
      </c>
      <c r="B333" t="s">
        <v>406</v>
      </c>
      <c r="C333" t="s">
        <v>18</v>
      </c>
      <c r="D333" t="s">
        <v>39</v>
      </c>
      <c r="E333" s="2">
        <v>7.47</v>
      </c>
      <c r="F333" s="2">
        <v>13.03</v>
      </c>
      <c r="G333" s="3">
        <v>316</v>
      </c>
      <c r="H333" s="3">
        <v>238</v>
      </c>
      <c r="I333" s="3">
        <v>78</v>
      </c>
      <c r="J333" s="3">
        <v>44</v>
      </c>
      <c r="K333" t="s">
        <v>20</v>
      </c>
      <c r="L333" s="2">
        <f t="shared" si="15"/>
        <v>5.56</v>
      </c>
      <c r="M333" s="2">
        <f t="shared" si="16"/>
        <v>3101.14</v>
      </c>
      <c r="N333" s="2">
        <f t="shared" si="17"/>
        <v>1323.28</v>
      </c>
    </row>
    <row r="334" spans="1:14">
      <c r="A334" t="s">
        <v>443</v>
      </c>
      <c r="B334" t="s">
        <v>97</v>
      </c>
      <c r="C334" t="s">
        <v>53</v>
      </c>
      <c r="D334" t="s">
        <v>14</v>
      </c>
      <c r="E334" s="2">
        <v>28.78</v>
      </c>
      <c r="F334" s="2">
        <v>45.78</v>
      </c>
      <c r="G334" s="3">
        <v>476</v>
      </c>
      <c r="H334" s="3">
        <v>199</v>
      </c>
      <c r="I334" s="3">
        <v>277</v>
      </c>
      <c r="J334" s="3">
        <v>117</v>
      </c>
      <c r="K334" t="s">
        <v>20</v>
      </c>
      <c r="L334" s="2">
        <f t="shared" si="15"/>
        <v>17</v>
      </c>
      <c r="M334" s="2">
        <f t="shared" si="16"/>
        <v>9110.2199999999993</v>
      </c>
      <c r="N334" s="2">
        <f t="shared" si="17"/>
        <v>3383</v>
      </c>
    </row>
    <row r="335" spans="1:14">
      <c r="A335" t="s">
        <v>444</v>
      </c>
      <c r="B335" t="s">
        <v>207</v>
      </c>
      <c r="C335" t="s">
        <v>88</v>
      </c>
      <c r="D335" t="s">
        <v>100</v>
      </c>
      <c r="E335" s="2">
        <v>25.5</v>
      </c>
      <c r="F335" s="2">
        <v>41.87</v>
      </c>
      <c r="G335" s="3">
        <v>151</v>
      </c>
      <c r="H335" s="3">
        <v>35</v>
      </c>
      <c r="I335" s="3">
        <v>116</v>
      </c>
      <c r="J335" s="3">
        <v>27</v>
      </c>
      <c r="K335" t="s">
        <v>20</v>
      </c>
      <c r="L335" s="2">
        <f t="shared" si="15"/>
        <v>16.369999999999997</v>
      </c>
      <c r="M335" s="2">
        <f t="shared" si="16"/>
        <v>1465.4499999999998</v>
      </c>
      <c r="N335" s="2">
        <f t="shared" si="17"/>
        <v>572.94999999999993</v>
      </c>
    </row>
    <row r="336" spans="1:14">
      <c r="A336" t="s">
        <v>445</v>
      </c>
      <c r="B336" t="s">
        <v>167</v>
      </c>
      <c r="C336" t="s">
        <v>88</v>
      </c>
      <c r="D336" t="s">
        <v>14</v>
      </c>
      <c r="E336" s="2">
        <v>77.25</v>
      </c>
      <c r="F336" s="2">
        <v>157.4</v>
      </c>
      <c r="G336" s="3">
        <v>250</v>
      </c>
      <c r="H336" s="3">
        <v>197</v>
      </c>
      <c r="I336" s="3">
        <v>53</v>
      </c>
      <c r="J336" s="3">
        <v>30</v>
      </c>
      <c r="K336" t="s">
        <v>20</v>
      </c>
      <c r="L336" s="2">
        <f t="shared" si="15"/>
        <v>80.150000000000006</v>
      </c>
      <c r="M336" s="2">
        <f t="shared" si="16"/>
        <v>31007.800000000003</v>
      </c>
      <c r="N336" s="2">
        <f t="shared" si="17"/>
        <v>15789.550000000001</v>
      </c>
    </row>
    <row r="337" spans="1:14">
      <c r="A337" t="s">
        <v>446</v>
      </c>
      <c r="B337" t="s">
        <v>102</v>
      </c>
      <c r="C337" t="s">
        <v>53</v>
      </c>
      <c r="D337" t="s">
        <v>42</v>
      </c>
      <c r="E337" s="2">
        <v>27.16</v>
      </c>
      <c r="F337" s="2">
        <v>43.94</v>
      </c>
      <c r="G337" s="3">
        <v>108</v>
      </c>
      <c r="H337" s="3">
        <v>55</v>
      </c>
      <c r="I337" s="3">
        <v>53</v>
      </c>
      <c r="J337" s="3">
        <v>17</v>
      </c>
      <c r="K337" t="s">
        <v>20</v>
      </c>
      <c r="L337" s="2">
        <f t="shared" si="15"/>
        <v>16.779999999999998</v>
      </c>
      <c r="M337" s="2">
        <f t="shared" si="16"/>
        <v>2416.6999999999998</v>
      </c>
      <c r="N337" s="2">
        <f t="shared" si="17"/>
        <v>922.89999999999986</v>
      </c>
    </row>
    <row r="338" spans="1:14">
      <c r="A338" t="s">
        <v>447</v>
      </c>
      <c r="B338" t="s">
        <v>76</v>
      </c>
      <c r="C338" t="s">
        <v>27</v>
      </c>
      <c r="D338" t="s">
        <v>19</v>
      </c>
      <c r="E338" s="2">
        <v>13.51</v>
      </c>
      <c r="F338" s="2">
        <v>18.829999999999998</v>
      </c>
      <c r="G338" s="3">
        <v>414</v>
      </c>
      <c r="H338" s="3">
        <v>61</v>
      </c>
      <c r="I338" s="3">
        <v>353</v>
      </c>
      <c r="J338" s="3">
        <v>83</v>
      </c>
      <c r="K338" t="s">
        <v>20</v>
      </c>
      <c r="L338" s="2">
        <f t="shared" si="15"/>
        <v>5.3199999999999985</v>
      </c>
      <c r="M338" s="2">
        <f t="shared" si="16"/>
        <v>1148.6299999999999</v>
      </c>
      <c r="N338" s="2">
        <f t="shared" si="17"/>
        <v>324.51999999999992</v>
      </c>
    </row>
    <row r="339" spans="1:14">
      <c r="A339" t="s">
        <v>448</v>
      </c>
      <c r="B339" t="s">
        <v>151</v>
      </c>
      <c r="C339" t="s">
        <v>53</v>
      </c>
      <c r="D339" t="s">
        <v>24</v>
      </c>
      <c r="E339" s="2">
        <v>26.22</v>
      </c>
      <c r="F339" s="2">
        <v>52.34</v>
      </c>
      <c r="G339" s="3">
        <v>403</v>
      </c>
      <c r="H339" s="3">
        <v>105</v>
      </c>
      <c r="I339" s="3">
        <v>298</v>
      </c>
      <c r="J339" s="3">
        <v>62</v>
      </c>
      <c r="K339" t="s">
        <v>20</v>
      </c>
      <c r="L339" s="2">
        <f t="shared" si="15"/>
        <v>26.120000000000005</v>
      </c>
      <c r="M339" s="2">
        <f t="shared" si="16"/>
        <v>5495.7000000000007</v>
      </c>
      <c r="N339" s="2">
        <f t="shared" si="17"/>
        <v>2742.6000000000004</v>
      </c>
    </row>
    <row r="340" spans="1:14">
      <c r="A340" t="s">
        <v>449</v>
      </c>
      <c r="B340" t="s">
        <v>22</v>
      </c>
      <c r="C340" t="s">
        <v>23</v>
      </c>
      <c r="D340" t="s">
        <v>28</v>
      </c>
      <c r="E340" s="2">
        <v>19.98</v>
      </c>
      <c r="F340" s="2">
        <v>28.11</v>
      </c>
      <c r="G340" s="3">
        <v>366</v>
      </c>
      <c r="H340" s="3">
        <v>95</v>
      </c>
      <c r="I340" s="3">
        <v>271</v>
      </c>
      <c r="J340" s="3">
        <v>75</v>
      </c>
      <c r="K340" t="s">
        <v>20</v>
      </c>
      <c r="L340" s="2">
        <f t="shared" si="15"/>
        <v>8.129999999999999</v>
      </c>
      <c r="M340" s="2">
        <f t="shared" si="16"/>
        <v>2670.45</v>
      </c>
      <c r="N340" s="2">
        <f t="shared" si="17"/>
        <v>772.34999999999991</v>
      </c>
    </row>
    <row r="341" spans="1:14">
      <c r="A341" t="s">
        <v>450</v>
      </c>
      <c r="B341" t="s">
        <v>229</v>
      </c>
      <c r="C341" t="s">
        <v>88</v>
      </c>
      <c r="D341" t="s">
        <v>42</v>
      </c>
      <c r="E341" s="2">
        <v>68.2</v>
      </c>
      <c r="F341" s="2">
        <v>134.27000000000001</v>
      </c>
      <c r="G341" s="3">
        <v>342</v>
      </c>
      <c r="H341" s="3">
        <v>231</v>
      </c>
      <c r="I341" s="3">
        <v>111</v>
      </c>
      <c r="J341" s="3">
        <v>51</v>
      </c>
      <c r="K341" t="s">
        <v>20</v>
      </c>
      <c r="L341" s="2">
        <f t="shared" si="15"/>
        <v>66.070000000000007</v>
      </c>
      <c r="M341" s="2">
        <f t="shared" si="16"/>
        <v>31016.370000000003</v>
      </c>
      <c r="N341" s="2">
        <f t="shared" si="17"/>
        <v>15262.170000000002</v>
      </c>
    </row>
    <row r="342" spans="1:14">
      <c r="A342" t="s">
        <v>451</v>
      </c>
      <c r="B342" t="s">
        <v>248</v>
      </c>
      <c r="C342" t="s">
        <v>27</v>
      </c>
      <c r="D342" t="s">
        <v>77</v>
      </c>
      <c r="E342" s="2">
        <v>5.07</v>
      </c>
      <c r="F342" s="2">
        <v>7.51</v>
      </c>
      <c r="G342" s="3">
        <v>289</v>
      </c>
      <c r="H342" s="3">
        <v>57</v>
      </c>
      <c r="I342" s="3">
        <v>232</v>
      </c>
      <c r="J342" s="3">
        <v>63</v>
      </c>
      <c r="K342" t="s">
        <v>20</v>
      </c>
      <c r="L342" s="2">
        <f t="shared" si="15"/>
        <v>2.4399999999999995</v>
      </c>
      <c r="M342" s="2">
        <f t="shared" si="16"/>
        <v>428.07</v>
      </c>
      <c r="N342" s="2">
        <f t="shared" si="17"/>
        <v>139.07999999999998</v>
      </c>
    </row>
    <row r="343" spans="1:14">
      <c r="A343" t="s">
        <v>452</v>
      </c>
      <c r="B343" t="s">
        <v>248</v>
      </c>
      <c r="C343" t="s">
        <v>27</v>
      </c>
      <c r="D343" t="s">
        <v>24</v>
      </c>
      <c r="E343" s="2">
        <v>24.51</v>
      </c>
      <c r="F343" s="2">
        <v>41</v>
      </c>
      <c r="G343" s="3">
        <v>276</v>
      </c>
      <c r="H343" s="3">
        <v>47</v>
      </c>
      <c r="I343" s="3">
        <v>229</v>
      </c>
      <c r="J343" s="3">
        <v>50</v>
      </c>
      <c r="K343" t="s">
        <v>20</v>
      </c>
      <c r="L343" s="2">
        <f t="shared" si="15"/>
        <v>16.489999999999998</v>
      </c>
      <c r="M343" s="2">
        <f t="shared" si="16"/>
        <v>1927</v>
      </c>
      <c r="N343" s="2">
        <f t="shared" si="17"/>
        <v>775.03</v>
      </c>
    </row>
    <row r="344" spans="1:14">
      <c r="A344" t="s">
        <v>453</v>
      </c>
      <c r="B344" t="s">
        <v>351</v>
      </c>
      <c r="C344" t="s">
        <v>47</v>
      </c>
      <c r="D344" t="s">
        <v>100</v>
      </c>
      <c r="E344" s="2">
        <v>4.92</v>
      </c>
      <c r="F344" s="2">
        <v>8.16</v>
      </c>
      <c r="G344" s="3">
        <v>229</v>
      </c>
      <c r="H344" s="3">
        <v>103</v>
      </c>
      <c r="I344" s="3">
        <v>126</v>
      </c>
      <c r="J344" s="3">
        <v>39</v>
      </c>
      <c r="K344" t="s">
        <v>20</v>
      </c>
      <c r="L344" s="2">
        <f t="shared" si="15"/>
        <v>3.24</v>
      </c>
      <c r="M344" s="2">
        <f t="shared" si="16"/>
        <v>840.48</v>
      </c>
      <c r="N344" s="2">
        <f t="shared" si="17"/>
        <v>333.72</v>
      </c>
    </row>
    <row r="345" spans="1:14">
      <c r="A345" t="s">
        <v>454</v>
      </c>
      <c r="B345" t="s">
        <v>37</v>
      </c>
      <c r="C345" t="s">
        <v>23</v>
      </c>
      <c r="D345" t="s">
        <v>77</v>
      </c>
      <c r="E345" s="2">
        <v>18.11</v>
      </c>
      <c r="F345" s="2">
        <v>28.51</v>
      </c>
      <c r="G345" s="3">
        <v>188</v>
      </c>
      <c r="H345" s="3">
        <v>36</v>
      </c>
      <c r="I345" s="3">
        <v>152</v>
      </c>
      <c r="J345" s="3">
        <v>19</v>
      </c>
      <c r="K345" t="s">
        <v>20</v>
      </c>
      <c r="L345" s="2">
        <f t="shared" si="15"/>
        <v>10.400000000000002</v>
      </c>
      <c r="M345" s="2">
        <f t="shared" si="16"/>
        <v>1026.3600000000001</v>
      </c>
      <c r="N345" s="2">
        <f t="shared" si="17"/>
        <v>374.40000000000009</v>
      </c>
    </row>
    <row r="346" spans="1:14">
      <c r="A346" t="s">
        <v>455</v>
      </c>
      <c r="B346" t="s">
        <v>90</v>
      </c>
      <c r="C346" t="s">
        <v>88</v>
      </c>
      <c r="D346" t="s">
        <v>24</v>
      </c>
      <c r="E346" s="2">
        <v>12.29</v>
      </c>
      <c r="F346" s="2">
        <v>24.56</v>
      </c>
      <c r="G346" s="3">
        <v>114</v>
      </c>
      <c r="H346" s="3">
        <v>21</v>
      </c>
      <c r="I346" s="3">
        <v>93</v>
      </c>
      <c r="J346" s="3">
        <v>26</v>
      </c>
      <c r="K346" t="s">
        <v>20</v>
      </c>
      <c r="L346" s="2">
        <f t="shared" si="15"/>
        <v>12.27</v>
      </c>
      <c r="M346" s="2">
        <f t="shared" si="16"/>
        <v>515.76</v>
      </c>
      <c r="N346" s="2">
        <f t="shared" si="17"/>
        <v>257.67</v>
      </c>
    </row>
    <row r="347" spans="1:14">
      <c r="A347" t="s">
        <v>456</v>
      </c>
      <c r="B347" t="s">
        <v>323</v>
      </c>
      <c r="C347" t="s">
        <v>27</v>
      </c>
      <c r="D347" t="s">
        <v>100</v>
      </c>
      <c r="E347" s="2">
        <v>24.34</v>
      </c>
      <c r="F347" s="2">
        <v>44.96</v>
      </c>
      <c r="G347" s="3">
        <v>204</v>
      </c>
      <c r="H347" s="3">
        <v>161</v>
      </c>
      <c r="I347" s="3">
        <v>43</v>
      </c>
      <c r="J347" s="3">
        <v>24</v>
      </c>
      <c r="K347" t="s">
        <v>20</v>
      </c>
      <c r="L347" s="2">
        <f t="shared" si="15"/>
        <v>20.62</v>
      </c>
      <c r="M347" s="2">
        <f t="shared" si="16"/>
        <v>7238.56</v>
      </c>
      <c r="N347" s="2">
        <f t="shared" si="17"/>
        <v>3319.82</v>
      </c>
    </row>
    <row r="348" spans="1:14">
      <c r="A348" t="s">
        <v>457</v>
      </c>
      <c r="B348" t="s">
        <v>116</v>
      </c>
      <c r="C348" t="s">
        <v>23</v>
      </c>
      <c r="D348" t="s">
        <v>42</v>
      </c>
      <c r="E348" s="2">
        <v>24.97</v>
      </c>
      <c r="F348" s="2">
        <v>48.94</v>
      </c>
      <c r="G348" s="3">
        <v>276</v>
      </c>
      <c r="H348" s="3">
        <v>145</v>
      </c>
      <c r="I348" s="3">
        <v>131</v>
      </c>
      <c r="J348" s="3">
        <v>34</v>
      </c>
      <c r="K348" t="s">
        <v>20</v>
      </c>
      <c r="L348" s="2">
        <f t="shared" si="15"/>
        <v>23.97</v>
      </c>
      <c r="M348" s="2">
        <f t="shared" si="16"/>
        <v>7096.2999999999993</v>
      </c>
      <c r="N348" s="2">
        <f t="shared" si="17"/>
        <v>3475.6499999999996</v>
      </c>
    </row>
    <row r="349" spans="1:14">
      <c r="A349" t="s">
        <v>458</v>
      </c>
      <c r="B349" t="s">
        <v>56</v>
      </c>
      <c r="C349" t="s">
        <v>23</v>
      </c>
      <c r="D349" t="s">
        <v>42</v>
      </c>
      <c r="E349" s="2">
        <v>14.42</v>
      </c>
      <c r="F349" s="2">
        <v>25.33</v>
      </c>
      <c r="G349" s="3">
        <v>145</v>
      </c>
      <c r="H349" s="3">
        <v>71</v>
      </c>
      <c r="I349" s="3">
        <v>74</v>
      </c>
      <c r="J349" s="3">
        <v>15</v>
      </c>
      <c r="K349" t="s">
        <v>20</v>
      </c>
      <c r="L349" s="2">
        <f t="shared" si="15"/>
        <v>10.909999999999998</v>
      </c>
      <c r="M349" s="2">
        <f t="shared" si="16"/>
        <v>1798.4299999999998</v>
      </c>
      <c r="N349" s="2">
        <f t="shared" si="17"/>
        <v>774.6099999999999</v>
      </c>
    </row>
    <row r="350" spans="1:14">
      <c r="A350" t="s">
        <v>459</v>
      </c>
      <c r="B350" t="s">
        <v>387</v>
      </c>
      <c r="C350" t="s">
        <v>88</v>
      </c>
      <c r="D350" t="s">
        <v>28</v>
      </c>
      <c r="E350" s="2">
        <v>43.26</v>
      </c>
      <c r="F350" s="2">
        <v>68.53</v>
      </c>
      <c r="G350" s="3">
        <v>30</v>
      </c>
      <c r="H350" s="3">
        <v>3</v>
      </c>
      <c r="I350" s="3">
        <v>27</v>
      </c>
      <c r="J350" s="3">
        <v>4</v>
      </c>
      <c r="K350" t="s">
        <v>20</v>
      </c>
      <c r="L350" s="2">
        <f t="shared" si="15"/>
        <v>25.270000000000003</v>
      </c>
      <c r="M350" s="2">
        <f t="shared" si="16"/>
        <v>205.59</v>
      </c>
      <c r="N350" s="2">
        <f t="shared" si="17"/>
        <v>75.81</v>
      </c>
    </row>
    <row r="351" spans="1:14">
      <c r="A351" t="s">
        <v>460</v>
      </c>
      <c r="B351" t="s">
        <v>251</v>
      </c>
      <c r="C351" t="s">
        <v>13</v>
      </c>
      <c r="D351" t="s">
        <v>100</v>
      </c>
      <c r="E351" s="2">
        <v>22.41</v>
      </c>
      <c r="F351" s="2">
        <v>38.97</v>
      </c>
      <c r="G351" s="3">
        <v>31</v>
      </c>
      <c r="H351" s="3">
        <v>11</v>
      </c>
      <c r="I351" s="3">
        <v>20</v>
      </c>
      <c r="J351" s="3">
        <v>5</v>
      </c>
      <c r="K351" t="s">
        <v>20</v>
      </c>
      <c r="L351" s="2">
        <f t="shared" si="15"/>
        <v>16.559999999999999</v>
      </c>
      <c r="M351" s="2">
        <f t="shared" si="16"/>
        <v>428.66999999999996</v>
      </c>
      <c r="N351" s="2">
        <f t="shared" si="17"/>
        <v>182.16</v>
      </c>
    </row>
    <row r="352" spans="1:14">
      <c r="A352" t="s">
        <v>461</v>
      </c>
      <c r="B352" t="s">
        <v>26</v>
      </c>
      <c r="C352" t="s">
        <v>27</v>
      </c>
      <c r="D352" t="s">
        <v>77</v>
      </c>
      <c r="E352" s="2">
        <v>2.09</v>
      </c>
      <c r="F352" s="2">
        <v>3.71</v>
      </c>
      <c r="G352" s="3">
        <v>112</v>
      </c>
      <c r="H352" s="3">
        <v>100</v>
      </c>
      <c r="I352" s="3">
        <v>12</v>
      </c>
      <c r="J352" s="3">
        <v>17</v>
      </c>
      <c r="K352" t="s">
        <v>15</v>
      </c>
      <c r="L352" s="2">
        <f t="shared" si="15"/>
        <v>1.62</v>
      </c>
      <c r="M352" s="2">
        <f t="shared" si="16"/>
        <v>371</v>
      </c>
      <c r="N352" s="2">
        <f t="shared" si="17"/>
        <v>162</v>
      </c>
    </row>
    <row r="353" spans="1:14">
      <c r="A353" t="s">
        <v>462</v>
      </c>
      <c r="B353" t="s">
        <v>58</v>
      </c>
      <c r="C353" t="s">
        <v>18</v>
      </c>
      <c r="D353" t="s">
        <v>28</v>
      </c>
      <c r="E353" s="2">
        <v>15.07</v>
      </c>
      <c r="F353" s="2">
        <v>28.39</v>
      </c>
      <c r="G353" s="3">
        <v>118</v>
      </c>
      <c r="H353" s="3">
        <v>51</v>
      </c>
      <c r="I353" s="3">
        <v>67</v>
      </c>
      <c r="J353" s="3">
        <v>16</v>
      </c>
      <c r="K353" t="s">
        <v>20</v>
      </c>
      <c r="L353" s="2">
        <f t="shared" si="15"/>
        <v>13.32</v>
      </c>
      <c r="M353" s="2">
        <f t="shared" si="16"/>
        <v>1447.89</v>
      </c>
      <c r="N353" s="2">
        <f t="shared" si="17"/>
        <v>679.32</v>
      </c>
    </row>
    <row r="354" spans="1:14">
      <c r="A354" t="s">
        <v>463</v>
      </c>
      <c r="B354" t="s">
        <v>421</v>
      </c>
      <c r="C354" t="s">
        <v>33</v>
      </c>
      <c r="D354" t="s">
        <v>77</v>
      </c>
      <c r="E354" s="2">
        <v>1.47</v>
      </c>
      <c r="F354" s="2">
        <v>2.76</v>
      </c>
      <c r="G354" s="3">
        <v>304</v>
      </c>
      <c r="H354" s="3">
        <v>106</v>
      </c>
      <c r="I354" s="3">
        <v>198</v>
      </c>
      <c r="J354" s="3">
        <v>48</v>
      </c>
      <c r="K354" t="s">
        <v>20</v>
      </c>
      <c r="L354" s="2">
        <f t="shared" si="15"/>
        <v>1.2899999999999998</v>
      </c>
      <c r="M354" s="2">
        <f t="shared" si="16"/>
        <v>292.56</v>
      </c>
      <c r="N354" s="2">
        <f t="shared" si="17"/>
        <v>136.73999999999998</v>
      </c>
    </row>
    <row r="355" spans="1:14">
      <c r="A355" t="s">
        <v>464</v>
      </c>
      <c r="B355" t="s">
        <v>52</v>
      </c>
      <c r="C355" t="s">
        <v>53</v>
      </c>
      <c r="D355" t="s">
        <v>19</v>
      </c>
      <c r="E355" s="2">
        <v>17.23</v>
      </c>
      <c r="F355" s="2">
        <v>22.64</v>
      </c>
      <c r="G355" s="3">
        <v>446</v>
      </c>
      <c r="H355" s="3">
        <v>206</v>
      </c>
      <c r="I355" s="3">
        <v>240</v>
      </c>
      <c r="J355" s="3">
        <v>84</v>
      </c>
      <c r="K355" t="s">
        <v>20</v>
      </c>
      <c r="L355" s="2">
        <f t="shared" si="15"/>
        <v>5.41</v>
      </c>
      <c r="M355" s="2">
        <f t="shared" si="16"/>
        <v>4663.84</v>
      </c>
      <c r="N355" s="2">
        <f t="shared" si="17"/>
        <v>1114.46</v>
      </c>
    </row>
    <row r="356" spans="1:14">
      <c r="A356" t="s">
        <v>465</v>
      </c>
      <c r="B356" t="s">
        <v>259</v>
      </c>
      <c r="C356" t="s">
        <v>53</v>
      </c>
      <c r="D356" t="s">
        <v>100</v>
      </c>
      <c r="E356" s="2">
        <v>6.87</v>
      </c>
      <c r="F356" s="2">
        <v>12.08</v>
      </c>
      <c r="G356" s="3">
        <v>428</v>
      </c>
      <c r="H356" s="3">
        <v>275</v>
      </c>
      <c r="I356" s="3">
        <v>153</v>
      </c>
      <c r="J356" s="3">
        <v>82</v>
      </c>
      <c r="K356" t="s">
        <v>20</v>
      </c>
      <c r="L356" s="2">
        <f t="shared" si="15"/>
        <v>5.21</v>
      </c>
      <c r="M356" s="2">
        <f t="shared" si="16"/>
        <v>3322</v>
      </c>
      <c r="N356" s="2">
        <f t="shared" si="17"/>
        <v>1432.75</v>
      </c>
    </row>
    <row r="357" spans="1:14">
      <c r="A357" t="s">
        <v>466</v>
      </c>
      <c r="B357" t="s">
        <v>26</v>
      </c>
      <c r="C357" t="s">
        <v>27</v>
      </c>
      <c r="D357" t="s">
        <v>14</v>
      </c>
      <c r="E357" s="2">
        <v>19.309999999999999</v>
      </c>
      <c r="F357" s="2">
        <v>39.950000000000003</v>
      </c>
      <c r="G357" s="3">
        <v>383</v>
      </c>
      <c r="H357" s="3">
        <v>204</v>
      </c>
      <c r="I357" s="3">
        <v>179</v>
      </c>
      <c r="J357" s="3">
        <v>93</v>
      </c>
      <c r="K357" t="s">
        <v>20</v>
      </c>
      <c r="L357" s="2">
        <f t="shared" si="15"/>
        <v>20.640000000000004</v>
      </c>
      <c r="M357" s="2">
        <f t="shared" si="16"/>
        <v>8149.8</v>
      </c>
      <c r="N357" s="2">
        <f t="shared" si="17"/>
        <v>4210.5600000000004</v>
      </c>
    </row>
    <row r="358" spans="1:14">
      <c r="A358" t="s">
        <v>467</v>
      </c>
      <c r="B358" t="s">
        <v>351</v>
      </c>
      <c r="C358" t="s">
        <v>47</v>
      </c>
      <c r="D358" t="s">
        <v>54</v>
      </c>
      <c r="E358" s="2">
        <v>0.83</v>
      </c>
      <c r="F358" s="2">
        <v>1.74</v>
      </c>
      <c r="G358" s="3">
        <v>373</v>
      </c>
      <c r="H358" s="3">
        <v>308</v>
      </c>
      <c r="I358" s="3">
        <v>65</v>
      </c>
      <c r="J358" s="3">
        <v>55</v>
      </c>
      <c r="K358" t="s">
        <v>20</v>
      </c>
      <c r="L358" s="2">
        <f t="shared" si="15"/>
        <v>0.91</v>
      </c>
      <c r="M358" s="2">
        <f t="shared" si="16"/>
        <v>535.91999999999996</v>
      </c>
      <c r="N358" s="2">
        <f t="shared" si="17"/>
        <v>280.28000000000003</v>
      </c>
    </row>
    <row r="359" spans="1:14">
      <c r="A359" t="s">
        <v>468</v>
      </c>
      <c r="B359" t="s">
        <v>12</v>
      </c>
      <c r="C359" t="s">
        <v>13</v>
      </c>
      <c r="D359" t="s">
        <v>42</v>
      </c>
      <c r="E359" s="2">
        <v>12.64</v>
      </c>
      <c r="F359" s="2">
        <v>27.59</v>
      </c>
      <c r="G359" s="3">
        <v>106</v>
      </c>
      <c r="H359" s="3">
        <v>11</v>
      </c>
      <c r="I359" s="3">
        <v>95</v>
      </c>
      <c r="J359" s="3">
        <v>19</v>
      </c>
      <c r="K359" t="s">
        <v>20</v>
      </c>
      <c r="L359" s="2">
        <f t="shared" si="15"/>
        <v>14.95</v>
      </c>
      <c r="M359" s="2">
        <f t="shared" si="16"/>
        <v>303.49</v>
      </c>
      <c r="N359" s="2">
        <f t="shared" si="17"/>
        <v>164.45</v>
      </c>
    </row>
    <row r="360" spans="1:14">
      <c r="A360" t="s">
        <v>469</v>
      </c>
      <c r="B360" t="s">
        <v>406</v>
      </c>
      <c r="C360" t="s">
        <v>18</v>
      </c>
      <c r="D360" t="s">
        <v>19</v>
      </c>
      <c r="E360" s="2">
        <v>13.89</v>
      </c>
      <c r="F360" s="2">
        <v>27.32</v>
      </c>
      <c r="G360" s="3">
        <v>125</v>
      </c>
      <c r="H360" s="3">
        <v>117</v>
      </c>
      <c r="I360" s="3">
        <v>8</v>
      </c>
      <c r="J360" s="3">
        <v>16</v>
      </c>
      <c r="K360" t="s">
        <v>15</v>
      </c>
      <c r="L360" s="2">
        <f t="shared" si="15"/>
        <v>13.43</v>
      </c>
      <c r="M360" s="2">
        <f t="shared" si="16"/>
        <v>3196.44</v>
      </c>
      <c r="N360" s="2">
        <f t="shared" si="17"/>
        <v>1571.31</v>
      </c>
    </row>
    <row r="361" spans="1:14">
      <c r="A361" t="s">
        <v>470</v>
      </c>
      <c r="B361" t="s">
        <v>83</v>
      </c>
      <c r="C361" t="s">
        <v>47</v>
      </c>
      <c r="D361" t="s">
        <v>39</v>
      </c>
      <c r="E361" s="2">
        <v>3.84</v>
      </c>
      <c r="F361" s="2">
        <v>5.26</v>
      </c>
      <c r="G361" s="3">
        <v>141</v>
      </c>
      <c r="H361" s="3">
        <v>57</v>
      </c>
      <c r="I361" s="3">
        <v>84</v>
      </c>
      <c r="J361" s="3">
        <v>31</v>
      </c>
      <c r="K361" t="s">
        <v>20</v>
      </c>
      <c r="L361" s="2">
        <f t="shared" si="15"/>
        <v>1.42</v>
      </c>
      <c r="M361" s="2">
        <f t="shared" si="16"/>
        <v>299.82</v>
      </c>
      <c r="N361" s="2">
        <f t="shared" si="17"/>
        <v>80.94</v>
      </c>
    </row>
    <row r="362" spans="1:14">
      <c r="A362" t="s">
        <v>471</v>
      </c>
      <c r="B362" t="s">
        <v>44</v>
      </c>
      <c r="C362" t="s">
        <v>13</v>
      </c>
      <c r="D362" t="s">
        <v>39</v>
      </c>
      <c r="E362" s="2">
        <v>14.51</v>
      </c>
      <c r="F362" s="2">
        <v>25.95</v>
      </c>
      <c r="G362" s="3">
        <v>279</v>
      </c>
      <c r="H362" s="3">
        <v>39</v>
      </c>
      <c r="I362" s="3">
        <v>240</v>
      </c>
      <c r="J362" s="3">
        <v>34</v>
      </c>
      <c r="K362" t="s">
        <v>20</v>
      </c>
      <c r="L362" s="2">
        <f t="shared" si="15"/>
        <v>11.44</v>
      </c>
      <c r="M362" s="2">
        <f t="shared" si="16"/>
        <v>1012.05</v>
      </c>
      <c r="N362" s="2">
        <f t="shared" si="17"/>
        <v>446.15999999999997</v>
      </c>
    </row>
    <row r="363" spans="1:14">
      <c r="A363" t="s">
        <v>472</v>
      </c>
      <c r="B363" t="s">
        <v>41</v>
      </c>
      <c r="C363" t="s">
        <v>23</v>
      </c>
      <c r="D363" t="s">
        <v>100</v>
      </c>
      <c r="E363" s="2">
        <v>2.08</v>
      </c>
      <c r="F363" s="2">
        <v>2.71</v>
      </c>
      <c r="G363" s="3">
        <v>437</v>
      </c>
      <c r="H363" s="3">
        <v>359</v>
      </c>
      <c r="I363" s="3">
        <v>78</v>
      </c>
      <c r="J363" s="3">
        <v>44</v>
      </c>
      <c r="K363" t="s">
        <v>20</v>
      </c>
      <c r="L363" s="2">
        <f t="shared" si="15"/>
        <v>0.62999999999999989</v>
      </c>
      <c r="M363" s="2">
        <f t="shared" si="16"/>
        <v>972.89</v>
      </c>
      <c r="N363" s="2">
        <f t="shared" si="17"/>
        <v>226.16999999999996</v>
      </c>
    </row>
    <row r="364" spans="1:14">
      <c r="A364" t="s">
        <v>473</v>
      </c>
      <c r="B364" t="s">
        <v>37</v>
      </c>
      <c r="C364" t="s">
        <v>23</v>
      </c>
      <c r="D364" t="s">
        <v>42</v>
      </c>
      <c r="E364" s="2">
        <v>20.57</v>
      </c>
      <c r="F364" s="2">
        <v>38</v>
      </c>
      <c r="G364" s="3">
        <v>149</v>
      </c>
      <c r="H364" s="3">
        <v>119</v>
      </c>
      <c r="I364" s="3">
        <v>30</v>
      </c>
      <c r="J364" s="3">
        <v>26</v>
      </c>
      <c r="K364" t="s">
        <v>20</v>
      </c>
      <c r="L364" s="2">
        <f t="shared" si="15"/>
        <v>17.43</v>
      </c>
      <c r="M364" s="2">
        <f t="shared" si="16"/>
        <v>4522</v>
      </c>
      <c r="N364" s="2">
        <f t="shared" si="17"/>
        <v>2074.17</v>
      </c>
    </row>
    <row r="365" spans="1:14">
      <c r="A365" t="s">
        <v>474</v>
      </c>
      <c r="B365" t="s">
        <v>99</v>
      </c>
      <c r="C365" t="s">
        <v>33</v>
      </c>
      <c r="D365" t="s">
        <v>42</v>
      </c>
      <c r="E365" s="2">
        <v>11.46</v>
      </c>
      <c r="F365" s="2">
        <v>15.93</v>
      </c>
      <c r="G365" s="3">
        <v>399</v>
      </c>
      <c r="H365" s="3">
        <v>195</v>
      </c>
      <c r="I365" s="3">
        <v>204</v>
      </c>
      <c r="J365" s="3">
        <v>90</v>
      </c>
      <c r="K365" t="s">
        <v>20</v>
      </c>
      <c r="L365" s="2">
        <f t="shared" si="15"/>
        <v>4.4699999999999989</v>
      </c>
      <c r="M365" s="2">
        <f t="shared" si="16"/>
        <v>3106.35</v>
      </c>
      <c r="N365" s="2">
        <f t="shared" si="17"/>
        <v>871.64999999999975</v>
      </c>
    </row>
    <row r="366" spans="1:14">
      <c r="A366" t="s">
        <v>475</v>
      </c>
      <c r="B366" t="s">
        <v>156</v>
      </c>
      <c r="C366" t="s">
        <v>47</v>
      </c>
      <c r="D366" t="s">
        <v>14</v>
      </c>
      <c r="E366" s="2">
        <v>14.11</v>
      </c>
      <c r="F366" s="2">
        <v>23.39</v>
      </c>
      <c r="G366" s="3">
        <v>194</v>
      </c>
      <c r="H366" s="3">
        <v>132</v>
      </c>
      <c r="I366" s="3">
        <v>62</v>
      </c>
      <c r="J366" s="3">
        <v>45</v>
      </c>
      <c r="K366" t="s">
        <v>20</v>
      </c>
      <c r="L366" s="2">
        <f t="shared" si="15"/>
        <v>9.2800000000000011</v>
      </c>
      <c r="M366" s="2">
        <f t="shared" si="16"/>
        <v>3087.48</v>
      </c>
      <c r="N366" s="2">
        <f t="shared" si="17"/>
        <v>1224.96</v>
      </c>
    </row>
    <row r="367" spans="1:14">
      <c r="A367" t="s">
        <v>476</v>
      </c>
      <c r="B367" t="s">
        <v>156</v>
      </c>
      <c r="C367" t="s">
        <v>47</v>
      </c>
      <c r="D367" t="s">
        <v>54</v>
      </c>
      <c r="E367" s="2">
        <v>0.77</v>
      </c>
      <c r="F367" s="2">
        <v>1.36</v>
      </c>
      <c r="G367" s="3">
        <v>352</v>
      </c>
      <c r="H367" s="3">
        <v>235</v>
      </c>
      <c r="I367" s="3">
        <v>117</v>
      </c>
      <c r="J367" s="3">
        <v>86</v>
      </c>
      <c r="K367" t="s">
        <v>20</v>
      </c>
      <c r="L367" s="2">
        <f t="shared" si="15"/>
        <v>0.59000000000000008</v>
      </c>
      <c r="M367" s="2">
        <f t="shared" si="16"/>
        <v>319.60000000000002</v>
      </c>
      <c r="N367" s="2">
        <f t="shared" si="17"/>
        <v>138.65</v>
      </c>
    </row>
    <row r="368" spans="1:14">
      <c r="A368" t="s">
        <v>477</v>
      </c>
      <c r="B368" t="s">
        <v>17</v>
      </c>
      <c r="C368" t="s">
        <v>18</v>
      </c>
      <c r="D368" t="s">
        <v>24</v>
      </c>
      <c r="E368" s="2">
        <v>4.76</v>
      </c>
      <c r="F368" s="2">
        <v>9.73</v>
      </c>
      <c r="G368" s="3">
        <v>134</v>
      </c>
      <c r="H368" s="3">
        <v>61</v>
      </c>
      <c r="I368" s="3">
        <v>73</v>
      </c>
      <c r="J368" s="3">
        <v>26</v>
      </c>
      <c r="K368" t="s">
        <v>20</v>
      </c>
      <c r="L368" s="2">
        <f t="shared" si="15"/>
        <v>4.9700000000000006</v>
      </c>
      <c r="M368" s="2">
        <f t="shared" si="16"/>
        <v>593.53</v>
      </c>
      <c r="N368" s="2">
        <f t="shared" si="17"/>
        <v>303.17</v>
      </c>
    </row>
    <row r="369" spans="1:14">
      <c r="A369" t="s">
        <v>478</v>
      </c>
      <c r="B369" t="s">
        <v>104</v>
      </c>
      <c r="C369" t="s">
        <v>33</v>
      </c>
      <c r="D369" t="s">
        <v>39</v>
      </c>
      <c r="E369" s="2">
        <v>10.14</v>
      </c>
      <c r="F369" s="2">
        <v>18.04</v>
      </c>
      <c r="G369" s="3">
        <v>135</v>
      </c>
      <c r="H369" s="3">
        <v>44</v>
      </c>
      <c r="I369" s="3">
        <v>91</v>
      </c>
      <c r="J369" s="3">
        <v>24</v>
      </c>
      <c r="K369" t="s">
        <v>20</v>
      </c>
      <c r="L369" s="2">
        <f t="shared" si="15"/>
        <v>7.8999999999999986</v>
      </c>
      <c r="M369" s="2">
        <f t="shared" si="16"/>
        <v>793.76</v>
      </c>
      <c r="N369" s="2">
        <f t="shared" si="17"/>
        <v>347.59999999999991</v>
      </c>
    </row>
    <row r="370" spans="1:14">
      <c r="A370" t="s">
        <v>479</v>
      </c>
      <c r="B370" t="s">
        <v>272</v>
      </c>
      <c r="C370" t="s">
        <v>47</v>
      </c>
      <c r="D370" t="s">
        <v>19</v>
      </c>
      <c r="E370" s="2">
        <v>11.57</v>
      </c>
      <c r="F370" s="2">
        <v>21.13</v>
      </c>
      <c r="G370" s="3">
        <v>415</v>
      </c>
      <c r="H370" s="3">
        <v>53</v>
      </c>
      <c r="I370" s="3">
        <v>362</v>
      </c>
      <c r="J370" s="3">
        <v>66</v>
      </c>
      <c r="K370" t="s">
        <v>20</v>
      </c>
      <c r="L370" s="2">
        <f t="shared" si="15"/>
        <v>9.5599999999999987</v>
      </c>
      <c r="M370" s="2">
        <f t="shared" si="16"/>
        <v>1119.8899999999999</v>
      </c>
      <c r="N370" s="2">
        <f t="shared" si="17"/>
        <v>506.67999999999995</v>
      </c>
    </row>
    <row r="371" spans="1:14">
      <c r="A371" t="s">
        <v>480</v>
      </c>
      <c r="B371" t="s">
        <v>41</v>
      </c>
      <c r="C371" t="s">
        <v>23</v>
      </c>
      <c r="D371" t="s">
        <v>39</v>
      </c>
      <c r="E371" s="2">
        <v>1.92</v>
      </c>
      <c r="F371" s="2">
        <v>3.91</v>
      </c>
      <c r="G371" s="3">
        <v>90</v>
      </c>
      <c r="H371" s="3">
        <v>21</v>
      </c>
      <c r="I371" s="3">
        <v>69</v>
      </c>
      <c r="J371" s="3">
        <v>20</v>
      </c>
      <c r="K371" t="s">
        <v>20</v>
      </c>
      <c r="L371" s="2">
        <f t="shared" si="15"/>
        <v>1.9900000000000002</v>
      </c>
      <c r="M371" s="2">
        <f t="shared" si="16"/>
        <v>82.11</v>
      </c>
      <c r="N371" s="2">
        <f t="shared" si="17"/>
        <v>41.790000000000006</v>
      </c>
    </row>
    <row r="372" spans="1:14">
      <c r="A372" t="s">
        <v>481</v>
      </c>
      <c r="B372" t="s">
        <v>76</v>
      </c>
      <c r="C372" t="s">
        <v>27</v>
      </c>
      <c r="D372" t="s">
        <v>100</v>
      </c>
      <c r="E372" s="2">
        <v>5.69</v>
      </c>
      <c r="F372" s="2">
        <v>9.66</v>
      </c>
      <c r="G372" s="3">
        <v>322</v>
      </c>
      <c r="H372" s="3">
        <v>179</v>
      </c>
      <c r="I372" s="3">
        <v>143</v>
      </c>
      <c r="J372" s="3">
        <v>64</v>
      </c>
      <c r="K372" t="s">
        <v>20</v>
      </c>
      <c r="L372" s="2">
        <f t="shared" si="15"/>
        <v>3.9699999999999998</v>
      </c>
      <c r="M372" s="2">
        <f t="shared" si="16"/>
        <v>1729.14</v>
      </c>
      <c r="N372" s="2">
        <f t="shared" si="17"/>
        <v>710.63</v>
      </c>
    </row>
    <row r="373" spans="1:14">
      <c r="A373" t="s">
        <v>482</v>
      </c>
      <c r="B373" t="s">
        <v>69</v>
      </c>
      <c r="C373" t="s">
        <v>23</v>
      </c>
      <c r="D373" t="s">
        <v>54</v>
      </c>
      <c r="E373" s="2">
        <v>23.28</v>
      </c>
      <c r="F373" s="2">
        <v>47.3</v>
      </c>
      <c r="G373" s="3">
        <v>132</v>
      </c>
      <c r="H373" s="3">
        <v>35</v>
      </c>
      <c r="I373" s="3">
        <v>97</v>
      </c>
      <c r="J373" s="3">
        <v>28</v>
      </c>
      <c r="K373" t="s">
        <v>20</v>
      </c>
      <c r="L373" s="2">
        <f t="shared" si="15"/>
        <v>24.019999999999996</v>
      </c>
      <c r="M373" s="2">
        <f t="shared" si="16"/>
        <v>1655.5</v>
      </c>
      <c r="N373" s="2">
        <f t="shared" si="17"/>
        <v>840.69999999999982</v>
      </c>
    </row>
    <row r="374" spans="1:14">
      <c r="A374" t="s">
        <v>483</v>
      </c>
      <c r="B374" t="s">
        <v>50</v>
      </c>
      <c r="C374" t="s">
        <v>33</v>
      </c>
      <c r="D374" t="s">
        <v>28</v>
      </c>
      <c r="E374" s="2">
        <v>10.1</v>
      </c>
      <c r="F374" s="2">
        <v>18.239999999999998</v>
      </c>
      <c r="G374" s="3">
        <v>408</v>
      </c>
      <c r="H374" s="3">
        <v>320</v>
      </c>
      <c r="I374" s="3">
        <v>88</v>
      </c>
      <c r="J374" s="3">
        <v>65</v>
      </c>
      <c r="K374" t="s">
        <v>20</v>
      </c>
      <c r="L374" s="2">
        <f t="shared" si="15"/>
        <v>8.1399999999999988</v>
      </c>
      <c r="M374" s="2">
        <f t="shared" si="16"/>
        <v>5836.7999999999993</v>
      </c>
      <c r="N374" s="2">
        <f t="shared" si="17"/>
        <v>2604.7999999999997</v>
      </c>
    </row>
    <row r="375" spans="1:14">
      <c r="A375" t="s">
        <v>484</v>
      </c>
      <c r="B375" t="s">
        <v>141</v>
      </c>
      <c r="C375" t="s">
        <v>47</v>
      </c>
      <c r="D375" t="s">
        <v>28</v>
      </c>
      <c r="E375" s="2">
        <v>14.74</v>
      </c>
      <c r="F375" s="2">
        <v>32.35</v>
      </c>
      <c r="G375" s="3">
        <v>259</v>
      </c>
      <c r="H375" s="3">
        <v>238</v>
      </c>
      <c r="I375" s="3">
        <v>21</v>
      </c>
      <c r="J375" s="3">
        <v>41</v>
      </c>
      <c r="K375" t="s">
        <v>15</v>
      </c>
      <c r="L375" s="2">
        <f t="shared" si="15"/>
        <v>17.61</v>
      </c>
      <c r="M375" s="2">
        <f t="shared" si="16"/>
        <v>7699.3</v>
      </c>
      <c r="N375" s="2">
        <f t="shared" si="17"/>
        <v>4191.18</v>
      </c>
    </row>
    <row r="376" spans="1:14">
      <c r="A376" t="s">
        <v>485</v>
      </c>
      <c r="B376" t="s">
        <v>81</v>
      </c>
      <c r="C376" t="s">
        <v>47</v>
      </c>
      <c r="D376" t="s">
        <v>19</v>
      </c>
      <c r="E376" s="2">
        <v>10.35</v>
      </c>
      <c r="F376" s="2">
        <v>21.11</v>
      </c>
      <c r="G376" s="3">
        <v>124</v>
      </c>
      <c r="H376" s="3">
        <v>49</v>
      </c>
      <c r="I376" s="3">
        <v>75</v>
      </c>
      <c r="J376" s="3">
        <v>22</v>
      </c>
      <c r="K376" t="s">
        <v>20</v>
      </c>
      <c r="L376" s="2">
        <f t="shared" si="15"/>
        <v>10.76</v>
      </c>
      <c r="M376" s="2">
        <f t="shared" si="16"/>
        <v>1034.3899999999999</v>
      </c>
      <c r="N376" s="2">
        <f t="shared" si="17"/>
        <v>527.24</v>
      </c>
    </row>
    <row r="377" spans="1:14">
      <c r="A377" t="s">
        <v>486</v>
      </c>
      <c r="B377" t="s">
        <v>167</v>
      </c>
      <c r="C377" t="s">
        <v>88</v>
      </c>
      <c r="D377" t="s">
        <v>54</v>
      </c>
      <c r="E377" s="2">
        <v>37</v>
      </c>
      <c r="F377" s="2">
        <v>55.01</v>
      </c>
      <c r="G377" s="3">
        <v>102</v>
      </c>
      <c r="H377" s="3">
        <v>64</v>
      </c>
      <c r="I377" s="3">
        <v>38</v>
      </c>
      <c r="J377" s="3">
        <v>20</v>
      </c>
      <c r="K377" t="s">
        <v>20</v>
      </c>
      <c r="L377" s="2">
        <f t="shared" si="15"/>
        <v>18.009999999999998</v>
      </c>
      <c r="M377" s="2">
        <f t="shared" si="16"/>
        <v>3520.64</v>
      </c>
      <c r="N377" s="2">
        <f t="shared" si="17"/>
        <v>1152.6399999999999</v>
      </c>
    </row>
    <row r="378" spans="1:14">
      <c r="A378" t="s">
        <v>487</v>
      </c>
      <c r="B378" t="s">
        <v>94</v>
      </c>
      <c r="C378" t="s">
        <v>33</v>
      </c>
      <c r="D378" t="s">
        <v>39</v>
      </c>
      <c r="E378" s="2">
        <v>8.42</v>
      </c>
      <c r="F378" s="2">
        <v>11.82</v>
      </c>
      <c r="G378" s="3">
        <v>247</v>
      </c>
      <c r="H378" s="3">
        <v>60</v>
      </c>
      <c r="I378" s="3">
        <v>187</v>
      </c>
      <c r="J378" s="3">
        <v>45</v>
      </c>
      <c r="K378" t="s">
        <v>20</v>
      </c>
      <c r="L378" s="2">
        <f t="shared" si="15"/>
        <v>3.4000000000000004</v>
      </c>
      <c r="M378" s="2">
        <f t="shared" si="16"/>
        <v>709.2</v>
      </c>
      <c r="N378" s="2">
        <f t="shared" si="17"/>
        <v>204.00000000000003</v>
      </c>
    </row>
    <row r="379" spans="1:14">
      <c r="A379" t="s">
        <v>488</v>
      </c>
      <c r="B379" t="s">
        <v>72</v>
      </c>
      <c r="C379" t="s">
        <v>27</v>
      </c>
      <c r="D379" t="s">
        <v>28</v>
      </c>
      <c r="E379" s="2">
        <v>21.98</v>
      </c>
      <c r="F379" s="2">
        <v>47.88</v>
      </c>
      <c r="G379" s="3">
        <v>395</v>
      </c>
      <c r="H379" s="3">
        <v>269</v>
      </c>
      <c r="I379" s="3">
        <v>126</v>
      </c>
      <c r="J379" s="3">
        <v>89</v>
      </c>
      <c r="K379" t="s">
        <v>20</v>
      </c>
      <c r="L379" s="2">
        <f t="shared" si="15"/>
        <v>25.900000000000002</v>
      </c>
      <c r="M379" s="2">
        <f t="shared" si="16"/>
        <v>12879.720000000001</v>
      </c>
      <c r="N379" s="2">
        <f t="shared" si="17"/>
        <v>6967.1</v>
      </c>
    </row>
    <row r="380" spans="1:14">
      <c r="A380" t="s">
        <v>489</v>
      </c>
      <c r="B380" t="s">
        <v>50</v>
      </c>
      <c r="C380" t="s">
        <v>33</v>
      </c>
      <c r="D380" t="s">
        <v>48</v>
      </c>
      <c r="E380" s="2">
        <v>5.08</v>
      </c>
      <c r="F380" s="2">
        <v>9.66</v>
      </c>
      <c r="G380" s="3">
        <v>35</v>
      </c>
      <c r="H380" s="3">
        <v>18</v>
      </c>
      <c r="I380" s="3">
        <v>17</v>
      </c>
      <c r="J380" s="3">
        <v>3</v>
      </c>
      <c r="K380" t="s">
        <v>20</v>
      </c>
      <c r="L380" s="2">
        <f t="shared" si="15"/>
        <v>4.58</v>
      </c>
      <c r="M380" s="2">
        <f t="shared" si="16"/>
        <v>173.88</v>
      </c>
      <c r="N380" s="2">
        <f t="shared" si="17"/>
        <v>82.44</v>
      </c>
    </row>
    <row r="381" spans="1:14">
      <c r="A381" t="s">
        <v>490</v>
      </c>
      <c r="B381" t="s">
        <v>351</v>
      </c>
      <c r="C381" t="s">
        <v>47</v>
      </c>
      <c r="D381" t="s">
        <v>48</v>
      </c>
      <c r="E381" s="2">
        <v>10.79</v>
      </c>
      <c r="F381" s="2">
        <v>21.89</v>
      </c>
      <c r="G381" s="3">
        <v>123</v>
      </c>
      <c r="H381" s="3">
        <v>102</v>
      </c>
      <c r="I381" s="3">
        <v>21</v>
      </c>
      <c r="J381" s="3">
        <v>30</v>
      </c>
      <c r="K381" t="s">
        <v>15</v>
      </c>
      <c r="L381" s="2">
        <f t="shared" si="15"/>
        <v>11.100000000000001</v>
      </c>
      <c r="M381" s="2">
        <f t="shared" si="16"/>
        <v>2232.7800000000002</v>
      </c>
      <c r="N381" s="2">
        <f t="shared" si="17"/>
        <v>1132.2</v>
      </c>
    </row>
    <row r="382" spans="1:14">
      <c r="A382" t="s">
        <v>491</v>
      </c>
      <c r="B382" t="s">
        <v>66</v>
      </c>
      <c r="C382" t="s">
        <v>18</v>
      </c>
      <c r="D382" t="s">
        <v>77</v>
      </c>
      <c r="E382" s="2">
        <v>10.36</v>
      </c>
      <c r="F382" s="2">
        <v>16.8</v>
      </c>
      <c r="G382" s="3">
        <v>131</v>
      </c>
      <c r="H382" s="3">
        <v>96</v>
      </c>
      <c r="I382" s="3">
        <v>35</v>
      </c>
      <c r="J382" s="3">
        <v>20</v>
      </c>
      <c r="K382" t="s">
        <v>20</v>
      </c>
      <c r="L382" s="2">
        <f t="shared" si="15"/>
        <v>6.4400000000000013</v>
      </c>
      <c r="M382" s="2">
        <f t="shared" si="16"/>
        <v>1612.8000000000002</v>
      </c>
      <c r="N382" s="2">
        <f t="shared" si="17"/>
        <v>618.24000000000012</v>
      </c>
    </row>
    <row r="383" spans="1:14">
      <c r="A383" t="s">
        <v>492</v>
      </c>
      <c r="B383" t="s">
        <v>147</v>
      </c>
      <c r="C383" t="s">
        <v>33</v>
      </c>
      <c r="D383" t="s">
        <v>19</v>
      </c>
      <c r="E383" s="2">
        <v>10.43</v>
      </c>
      <c r="F383" s="2">
        <v>18.48</v>
      </c>
      <c r="G383" s="3">
        <v>398</v>
      </c>
      <c r="H383" s="3">
        <v>330</v>
      </c>
      <c r="I383" s="3">
        <v>68</v>
      </c>
      <c r="J383" s="3">
        <v>81</v>
      </c>
      <c r="K383" t="s">
        <v>15</v>
      </c>
      <c r="L383" s="2">
        <f t="shared" si="15"/>
        <v>8.0500000000000007</v>
      </c>
      <c r="M383" s="2">
        <f t="shared" si="16"/>
        <v>6098.4000000000005</v>
      </c>
      <c r="N383" s="2">
        <f t="shared" si="17"/>
        <v>2656.5000000000005</v>
      </c>
    </row>
    <row r="384" spans="1:14">
      <c r="A384" t="s">
        <v>493</v>
      </c>
      <c r="B384" t="s">
        <v>229</v>
      </c>
      <c r="C384" t="s">
        <v>88</v>
      </c>
      <c r="D384" t="s">
        <v>39</v>
      </c>
      <c r="E384" s="2">
        <v>40.840000000000003</v>
      </c>
      <c r="F384" s="2">
        <v>53.48</v>
      </c>
      <c r="G384" s="3">
        <v>200</v>
      </c>
      <c r="H384" s="3">
        <v>41</v>
      </c>
      <c r="I384" s="3">
        <v>159</v>
      </c>
      <c r="J384" s="3">
        <v>20</v>
      </c>
      <c r="K384" t="s">
        <v>20</v>
      </c>
      <c r="L384" s="2">
        <f t="shared" si="15"/>
        <v>12.639999999999993</v>
      </c>
      <c r="M384" s="2">
        <f t="shared" si="16"/>
        <v>2192.6799999999998</v>
      </c>
      <c r="N384" s="2">
        <f t="shared" si="17"/>
        <v>518.23999999999978</v>
      </c>
    </row>
    <row r="385" spans="1:14">
      <c r="A385" t="s">
        <v>494</v>
      </c>
      <c r="B385" t="s">
        <v>126</v>
      </c>
      <c r="C385" t="s">
        <v>23</v>
      </c>
      <c r="D385" t="s">
        <v>77</v>
      </c>
      <c r="E385" s="2">
        <v>6.1</v>
      </c>
      <c r="F385" s="2">
        <v>10.92</v>
      </c>
      <c r="G385" s="3">
        <v>162</v>
      </c>
      <c r="H385" s="3">
        <v>42</v>
      </c>
      <c r="I385" s="3">
        <v>120</v>
      </c>
      <c r="J385" s="3">
        <v>31</v>
      </c>
      <c r="K385" t="s">
        <v>20</v>
      </c>
      <c r="L385" s="2">
        <f t="shared" si="15"/>
        <v>4.82</v>
      </c>
      <c r="M385" s="2">
        <f t="shared" si="16"/>
        <v>458.64</v>
      </c>
      <c r="N385" s="2">
        <f t="shared" si="17"/>
        <v>202.44</v>
      </c>
    </row>
    <row r="386" spans="1:14">
      <c r="A386" t="s">
        <v>495</v>
      </c>
      <c r="B386" t="s">
        <v>85</v>
      </c>
      <c r="C386" t="s">
        <v>27</v>
      </c>
      <c r="D386" t="s">
        <v>54</v>
      </c>
      <c r="E386" s="2">
        <v>4.51</v>
      </c>
      <c r="F386" s="2">
        <v>8.83</v>
      </c>
      <c r="G386" s="3">
        <v>390</v>
      </c>
      <c r="H386" s="3">
        <v>246</v>
      </c>
      <c r="I386" s="3">
        <v>144</v>
      </c>
      <c r="J386" s="3">
        <v>56</v>
      </c>
      <c r="K386" t="s">
        <v>20</v>
      </c>
      <c r="L386" s="2">
        <f t="shared" si="15"/>
        <v>4.32</v>
      </c>
      <c r="M386" s="2">
        <f t="shared" si="16"/>
        <v>2172.1799999999998</v>
      </c>
      <c r="N386" s="2">
        <f t="shared" si="17"/>
        <v>1062.72</v>
      </c>
    </row>
    <row r="387" spans="1:14">
      <c r="A387" t="s">
        <v>496</v>
      </c>
      <c r="B387" t="s">
        <v>76</v>
      </c>
      <c r="C387" t="s">
        <v>27</v>
      </c>
      <c r="D387" t="s">
        <v>42</v>
      </c>
      <c r="E387" s="2">
        <v>7.7</v>
      </c>
      <c r="F387" s="2">
        <v>11.57</v>
      </c>
      <c r="G387" s="3">
        <v>61</v>
      </c>
      <c r="H387" s="3">
        <v>57</v>
      </c>
      <c r="I387" s="3">
        <v>4</v>
      </c>
      <c r="J387" s="3">
        <v>14</v>
      </c>
      <c r="K387" t="s">
        <v>15</v>
      </c>
      <c r="L387" s="2">
        <f t="shared" ref="L387:L450" si="18">F387-E387</f>
        <v>3.87</v>
      </c>
      <c r="M387" s="2">
        <f t="shared" ref="M387:M450" si="19">H387*F387</f>
        <v>659.49</v>
      </c>
      <c r="N387" s="2">
        <f t="shared" ref="N387:N450" si="20">H387*L387</f>
        <v>220.59</v>
      </c>
    </row>
    <row r="388" spans="1:14">
      <c r="A388" t="s">
        <v>497</v>
      </c>
      <c r="B388" t="s">
        <v>220</v>
      </c>
      <c r="C388" t="s">
        <v>23</v>
      </c>
      <c r="D388" t="s">
        <v>54</v>
      </c>
      <c r="E388" s="2">
        <v>23.54</v>
      </c>
      <c r="F388" s="2">
        <v>34.9</v>
      </c>
      <c r="G388" s="3">
        <v>411</v>
      </c>
      <c r="H388" s="3">
        <v>299</v>
      </c>
      <c r="I388" s="3">
        <v>112</v>
      </c>
      <c r="J388" s="3">
        <v>100</v>
      </c>
      <c r="K388" t="s">
        <v>20</v>
      </c>
      <c r="L388" s="2">
        <f t="shared" si="18"/>
        <v>11.36</v>
      </c>
      <c r="M388" s="2">
        <f t="shared" si="19"/>
        <v>10435.1</v>
      </c>
      <c r="N388" s="2">
        <f t="shared" si="20"/>
        <v>3396.64</v>
      </c>
    </row>
    <row r="389" spans="1:14">
      <c r="A389" t="s">
        <v>498</v>
      </c>
      <c r="B389" t="s">
        <v>104</v>
      </c>
      <c r="C389" t="s">
        <v>33</v>
      </c>
      <c r="D389" t="s">
        <v>39</v>
      </c>
      <c r="E389" s="2">
        <v>7.26</v>
      </c>
      <c r="F389" s="2">
        <v>10.48</v>
      </c>
      <c r="G389" s="3">
        <v>73</v>
      </c>
      <c r="H389" s="3">
        <v>59</v>
      </c>
      <c r="I389" s="3">
        <v>14</v>
      </c>
      <c r="J389" s="3">
        <v>7</v>
      </c>
      <c r="K389" t="s">
        <v>20</v>
      </c>
      <c r="L389" s="2">
        <f t="shared" si="18"/>
        <v>3.2200000000000006</v>
      </c>
      <c r="M389" s="2">
        <f t="shared" si="19"/>
        <v>618.32000000000005</v>
      </c>
      <c r="N389" s="2">
        <f t="shared" si="20"/>
        <v>189.98000000000005</v>
      </c>
    </row>
    <row r="390" spans="1:14">
      <c r="A390" t="s">
        <v>499</v>
      </c>
      <c r="B390" t="s">
        <v>114</v>
      </c>
      <c r="C390" t="s">
        <v>53</v>
      </c>
      <c r="D390" t="s">
        <v>28</v>
      </c>
      <c r="E390" s="2">
        <v>34.74</v>
      </c>
      <c r="F390" s="2">
        <v>45.36</v>
      </c>
      <c r="G390" s="3">
        <v>39</v>
      </c>
      <c r="H390" s="3">
        <v>14</v>
      </c>
      <c r="I390" s="3">
        <v>25</v>
      </c>
      <c r="J390" s="3">
        <v>7</v>
      </c>
      <c r="K390" t="s">
        <v>20</v>
      </c>
      <c r="L390" s="2">
        <f t="shared" si="18"/>
        <v>10.619999999999997</v>
      </c>
      <c r="M390" s="2">
        <f t="shared" si="19"/>
        <v>635.04</v>
      </c>
      <c r="N390" s="2">
        <f t="shared" si="20"/>
        <v>148.67999999999995</v>
      </c>
    </row>
    <row r="391" spans="1:14">
      <c r="A391" t="s">
        <v>500</v>
      </c>
      <c r="B391" t="s">
        <v>222</v>
      </c>
      <c r="C391" t="s">
        <v>18</v>
      </c>
      <c r="D391" t="s">
        <v>42</v>
      </c>
      <c r="E391" s="2">
        <v>10.130000000000001</v>
      </c>
      <c r="F391" s="2">
        <v>17.66</v>
      </c>
      <c r="G391" s="3">
        <v>20</v>
      </c>
      <c r="H391" s="3">
        <v>11</v>
      </c>
      <c r="I391" s="3">
        <v>9</v>
      </c>
      <c r="J391" s="3">
        <v>4</v>
      </c>
      <c r="K391" t="s">
        <v>20</v>
      </c>
      <c r="L391" s="2">
        <f t="shared" si="18"/>
        <v>7.5299999999999994</v>
      </c>
      <c r="M391" s="2">
        <f t="shared" si="19"/>
        <v>194.26</v>
      </c>
      <c r="N391" s="2">
        <f t="shared" si="20"/>
        <v>82.83</v>
      </c>
    </row>
    <row r="392" spans="1:14">
      <c r="A392" t="s">
        <v>501</v>
      </c>
      <c r="B392" t="s">
        <v>179</v>
      </c>
      <c r="C392" t="s">
        <v>53</v>
      </c>
      <c r="D392" t="s">
        <v>42</v>
      </c>
      <c r="E392" s="2">
        <v>11.82</v>
      </c>
      <c r="F392" s="2">
        <v>25.26</v>
      </c>
      <c r="G392" s="3">
        <v>108</v>
      </c>
      <c r="H392" s="3">
        <v>43</v>
      </c>
      <c r="I392" s="3">
        <v>65</v>
      </c>
      <c r="J392" s="3">
        <v>18</v>
      </c>
      <c r="K392" t="s">
        <v>20</v>
      </c>
      <c r="L392" s="2">
        <f t="shared" si="18"/>
        <v>13.440000000000001</v>
      </c>
      <c r="M392" s="2">
        <f t="shared" si="19"/>
        <v>1086.18</v>
      </c>
      <c r="N392" s="2">
        <f t="shared" si="20"/>
        <v>577.92000000000007</v>
      </c>
    </row>
    <row r="393" spans="1:14">
      <c r="A393" t="s">
        <v>502</v>
      </c>
      <c r="B393" t="s">
        <v>17</v>
      </c>
      <c r="C393" t="s">
        <v>18</v>
      </c>
      <c r="D393" t="s">
        <v>28</v>
      </c>
      <c r="E393" s="2">
        <v>11.3</v>
      </c>
      <c r="F393" s="2">
        <v>17.07</v>
      </c>
      <c r="G393" s="3">
        <v>76</v>
      </c>
      <c r="H393" s="3">
        <v>71</v>
      </c>
      <c r="I393" s="3">
        <v>5</v>
      </c>
      <c r="J393" s="3">
        <v>7</v>
      </c>
      <c r="K393" t="s">
        <v>15</v>
      </c>
      <c r="L393" s="2">
        <f t="shared" si="18"/>
        <v>5.77</v>
      </c>
      <c r="M393" s="2">
        <f t="shared" si="19"/>
        <v>1211.97</v>
      </c>
      <c r="N393" s="2">
        <f t="shared" si="20"/>
        <v>409.66999999999996</v>
      </c>
    </row>
    <row r="394" spans="1:14">
      <c r="A394" t="s">
        <v>503</v>
      </c>
      <c r="B394" t="s">
        <v>144</v>
      </c>
      <c r="C394" t="s">
        <v>88</v>
      </c>
      <c r="D394" t="s">
        <v>28</v>
      </c>
      <c r="E394" s="2">
        <v>22.14</v>
      </c>
      <c r="F394" s="2">
        <v>34.39</v>
      </c>
      <c r="G394" s="3">
        <v>141</v>
      </c>
      <c r="H394" s="3">
        <v>112</v>
      </c>
      <c r="I394" s="3">
        <v>29</v>
      </c>
      <c r="J394" s="3">
        <v>26</v>
      </c>
      <c r="K394" t="s">
        <v>20</v>
      </c>
      <c r="L394" s="2">
        <f t="shared" si="18"/>
        <v>12.25</v>
      </c>
      <c r="M394" s="2">
        <f t="shared" si="19"/>
        <v>3851.6800000000003</v>
      </c>
      <c r="N394" s="2">
        <f t="shared" si="20"/>
        <v>1372</v>
      </c>
    </row>
    <row r="395" spans="1:14">
      <c r="A395" t="s">
        <v>504</v>
      </c>
      <c r="B395" t="s">
        <v>90</v>
      </c>
      <c r="C395" t="s">
        <v>88</v>
      </c>
      <c r="D395" t="s">
        <v>19</v>
      </c>
      <c r="E395" s="2">
        <v>13.57</v>
      </c>
      <c r="F395" s="2">
        <v>24.61</v>
      </c>
      <c r="G395" s="3">
        <v>320</v>
      </c>
      <c r="H395" s="3">
        <v>282</v>
      </c>
      <c r="I395" s="3">
        <v>38</v>
      </c>
      <c r="J395" s="3">
        <v>52</v>
      </c>
      <c r="K395" t="s">
        <v>15</v>
      </c>
      <c r="L395" s="2">
        <f t="shared" si="18"/>
        <v>11.04</v>
      </c>
      <c r="M395" s="2">
        <f t="shared" si="19"/>
        <v>6940.0199999999995</v>
      </c>
      <c r="N395" s="2">
        <f t="shared" si="20"/>
        <v>3113.2799999999997</v>
      </c>
    </row>
    <row r="396" spans="1:14">
      <c r="A396" t="s">
        <v>505</v>
      </c>
      <c r="B396" t="s">
        <v>58</v>
      </c>
      <c r="C396" t="s">
        <v>18</v>
      </c>
      <c r="D396" t="s">
        <v>24</v>
      </c>
      <c r="E396" s="2">
        <v>12.58</v>
      </c>
      <c r="F396" s="2">
        <v>18.66</v>
      </c>
      <c r="G396" s="3">
        <v>297</v>
      </c>
      <c r="H396" s="3">
        <v>140</v>
      </c>
      <c r="I396" s="3">
        <v>157</v>
      </c>
      <c r="J396" s="3">
        <v>68</v>
      </c>
      <c r="K396" t="s">
        <v>20</v>
      </c>
      <c r="L396" s="2">
        <f t="shared" si="18"/>
        <v>6.08</v>
      </c>
      <c r="M396" s="2">
        <f t="shared" si="19"/>
        <v>2612.4</v>
      </c>
      <c r="N396" s="2">
        <f t="shared" si="20"/>
        <v>851.2</v>
      </c>
    </row>
    <row r="397" spans="1:14">
      <c r="A397" t="s">
        <v>506</v>
      </c>
      <c r="B397" t="s">
        <v>87</v>
      </c>
      <c r="C397" t="s">
        <v>88</v>
      </c>
      <c r="D397" t="s">
        <v>19</v>
      </c>
      <c r="E397" s="2">
        <v>5.47</v>
      </c>
      <c r="F397" s="2">
        <v>7.98</v>
      </c>
      <c r="G397" s="3">
        <v>281</v>
      </c>
      <c r="H397" s="3">
        <v>212</v>
      </c>
      <c r="I397" s="3">
        <v>69</v>
      </c>
      <c r="J397" s="3">
        <v>59</v>
      </c>
      <c r="K397" t="s">
        <v>20</v>
      </c>
      <c r="L397" s="2">
        <f t="shared" si="18"/>
        <v>2.5100000000000007</v>
      </c>
      <c r="M397" s="2">
        <f t="shared" si="19"/>
        <v>1691.76</v>
      </c>
      <c r="N397" s="2">
        <f t="shared" si="20"/>
        <v>532.12000000000012</v>
      </c>
    </row>
    <row r="398" spans="1:14">
      <c r="A398" t="s">
        <v>507</v>
      </c>
      <c r="B398" t="s">
        <v>216</v>
      </c>
      <c r="C398" t="s">
        <v>23</v>
      </c>
      <c r="D398" t="s">
        <v>77</v>
      </c>
      <c r="E398" s="2">
        <v>16.11</v>
      </c>
      <c r="F398" s="2">
        <v>35.200000000000003</v>
      </c>
      <c r="G398" s="3">
        <v>446</v>
      </c>
      <c r="H398" s="3">
        <v>254</v>
      </c>
      <c r="I398" s="3">
        <v>192</v>
      </c>
      <c r="J398" s="3">
        <v>62</v>
      </c>
      <c r="K398" t="s">
        <v>20</v>
      </c>
      <c r="L398" s="2">
        <f t="shared" si="18"/>
        <v>19.090000000000003</v>
      </c>
      <c r="M398" s="2">
        <f t="shared" si="19"/>
        <v>8940.8000000000011</v>
      </c>
      <c r="N398" s="2">
        <f t="shared" si="20"/>
        <v>4848.8600000000006</v>
      </c>
    </row>
    <row r="399" spans="1:14">
      <c r="A399" t="s">
        <v>508</v>
      </c>
      <c r="B399" t="s">
        <v>175</v>
      </c>
      <c r="C399" t="s">
        <v>88</v>
      </c>
      <c r="D399" t="s">
        <v>48</v>
      </c>
      <c r="E399" s="2">
        <v>75.33</v>
      </c>
      <c r="F399" s="2">
        <v>133.86000000000001</v>
      </c>
      <c r="G399" s="3">
        <v>413</v>
      </c>
      <c r="H399" s="3">
        <v>208</v>
      </c>
      <c r="I399" s="3">
        <v>205</v>
      </c>
      <c r="J399" s="3">
        <v>73</v>
      </c>
      <c r="K399" t="s">
        <v>20</v>
      </c>
      <c r="L399" s="2">
        <f t="shared" si="18"/>
        <v>58.530000000000015</v>
      </c>
      <c r="M399" s="2">
        <f t="shared" si="19"/>
        <v>27842.880000000005</v>
      </c>
      <c r="N399" s="2">
        <f t="shared" si="20"/>
        <v>12174.240000000003</v>
      </c>
    </row>
    <row r="400" spans="1:14">
      <c r="A400" t="s">
        <v>509</v>
      </c>
      <c r="B400" t="s">
        <v>179</v>
      </c>
      <c r="C400" t="s">
        <v>53</v>
      </c>
      <c r="D400" t="s">
        <v>48</v>
      </c>
      <c r="E400" s="2">
        <v>29.74</v>
      </c>
      <c r="F400" s="2">
        <v>48.44</v>
      </c>
      <c r="G400" s="3">
        <v>194</v>
      </c>
      <c r="H400" s="3">
        <v>167</v>
      </c>
      <c r="I400" s="3">
        <v>27</v>
      </c>
      <c r="J400" s="3">
        <v>34</v>
      </c>
      <c r="K400" t="s">
        <v>15</v>
      </c>
      <c r="L400" s="2">
        <f t="shared" si="18"/>
        <v>18.7</v>
      </c>
      <c r="M400" s="2">
        <f t="shared" si="19"/>
        <v>8089.48</v>
      </c>
      <c r="N400" s="2">
        <f t="shared" si="20"/>
        <v>3122.9</v>
      </c>
    </row>
    <row r="401" spans="1:14">
      <c r="A401" t="s">
        <v>510</v>
      </c>
      <c r="B401" t="s">
        <v>32</v>
      </c>
      <c r="C401" t="s">
        <v>33</v>
      </c>
      <c r="D401" t="s">
        <v>48</v>
      </c>
      <c r="E401" s="2">
        <v>1.89</v>
      </c>
      <c r="F401" s="2">
        <v>2.83</v>
      </c>
      <c r="G401" s="3">
        <v>204</v>
      </c>
      <c r="H401" s="3">
        <v>68</v>
      </c>
      <c r="I401" s="3">
        <v>136</v>
      </c>
      <c r="J401" s="3">
        <v>44</v>
      </c>
      <c r="K401" t="s">
        <v>20</v>
      </c>
      <c r="L401" s="2">
        <f t="shared" si="18"/>
        <v>0.94000000000000017</v>
      </c>
      <c r="M401" s="2">
        <f t="shared" si="19"/>
        <v>192.44</v>
      </c>
      <c r="N401" s="2">
        <f t="shared" si="20"/>
        <v>63.920000000000009</v>
      </c>
    </row>
    <row r="402" spans="1:14">
      <c r="A402" t="s">
        <v>511</v>
      </c>
      <c r="B402" t="s">
        <v>17</v>
      </c>
      <c r="C402" t="s">
        <v>18</v>
      </c>
      <c r="D402" t="s">
        <v>77</v>
      </c>
      <c r="E402" s="2">
        <v>10.95</v>
      </c>
      <c r="F402" s="2">
        <v>22.77</v>
      </c>
      <c r="G402" s="3">
        <v>354</v>
      </c>
      <c r="H402" s="3">
        <v>161</v>
      </c>
      <c r="I402" s="3">
        <v>193</v>
      </c>
      <c r="J402" s="3">
        <v>69</v>
      </c>
      <c r="K402" t="s">
        <v>20</v>
      </c>
      <c r="L402" s="2">
        <f t="shared" si="18"/>
        <v>11.82</v>
      </c>
      <c r="M402" s="2">
        <f t="shared" si="19"/>
        <v>3665.97</v>
      </c>
      <c r="N402" s="2">
        <f t="shared" si="20"/>
        <v>1903.02</v>
      </c>
    </row>
    <row r="403" spans="1:14">
      <c r="A403" t="s">
        <v>512</v>
      </c>
      <c r="B403" t="s">
        <v>229</v>
      </c>
      <c r="C403" t="s">
        <v>88</v>
      </c>
      <c r="D403" t="s">
        <v>28</v>
      </c>
      <c r="E403" s="2">
        <v>60.71</v>
      </c>
      <c r="F403" s="2">
        <v>93.64</v>
      </c>
      <c r="G403" s="3">
        <v>121</v>
      </c>
      <c r="H403" s="3">
        <v>66</v>
      </c>
      <c r="I403" s="3">
        <v>55</v>
      </c>
      <c r="J403" s="3">
        <v>25</v>
      </c>
      <c r="K403" t="s">
        <v>20</v>
      </c>
      <c r="L403" s="2">
        <f t="shared" si="18"/>
        <v>32.93</v>
      </c>
      <c r="M403" s="2">
        <f t="shared" si="19"/>
        <v>6180.24</v>
      </c>
      <c r="N403" s="2">
        <f t="shared" si="20"/>
        <v>2173.38</v>
      </c>
    </row>
    <row r="404" spans="1:14">
      <c r="A404" t="s">
        <v>513</v>
      </c>
      <c r="B404" t="s">
        <v>151</v>
      </c>
      <c r="C404" t="s">
        <v>53</v>
      </c>
      <c r="D404" t="s">
        <v>77</v>
      </c>
      <c r="E404" s="2">
        <v>15.61</v>
      </c>
      <c r="F404" s="2">
        <v>21.46</v>
      </c>
      <c r="G404" s="3">
        <v>99</v>
      </c>
      <c r="H404" s="3">
        <v>17</v>
      </c>
      <c r="I404" s="3">
        <v>82</v>
      </c>
      <c r="J404" s="3">
        <v>18</v>
      </c>
      <c r="K404" t="s">
        <v>20</v>
      </c>
      <c r="L404" s="2">
        <f t="shared" si="18"/>
        <v>5.8500000000000014</v>
      </c>
      <c r="M404" s="2">
        <f t="shared" si="19"/>
        <v>364.82</v>
      </c>
      <c r="N404" s="2">
        <f t="shared" si="20"/>
        <v>99.450000000000017</v>
      </c>
    </row>
    <row r="405" spans="1:14">
      <c r="A405" t="s">
        <v>514</v>
      </c>
      <c r="B405" t="s">
        <v>79</v>
      </c>
      <c r="C405" t="s">
        <v>13</v>
      </c>
      <c r="D405" t="s">
        <v>54</v>
      </c>
      <c r="E405" s="2">
        <v>26.41</v>
      </c>
      <c r="F405" s="2">
        <v>44.58</v>
      </c>
      <c r="G405" s="3">
        <v>208</v>
      </c>
      <c r="H405" s="3">
        <v>116</v>
      </c>
      <c r="I405" s="3">
        <v>92</v>
      </c>
      <c r="J405" s="3">
        <v>25</v>
      </c>
      <c r="K405" t="s">
        <v>20</v>
      </c>
      <c r="L405" s="2">
        <f t="shared" si="18"/>
        <v>18.169999999999998</v>
      </c>
      <c r="M405" s="2">
        <f t="shared" si="19"/>
        <v>5171.28</v>
      </c>
      <c r="N405" s="2">
        <f t="shared" si="20"/>
        <v>2107.7199999999998</v>
      </c>
    </row>
    <row r="406" spans="1:14">
      <c r="A406" t="s">
        <v>515</v>
      </c>
      <c r="B406" t="s">
        <v>172</v>
      </c>
      <c r="C406" t="s">
        <v>18</v>
      </c>
      <c r="D406" t="s">
        <v>14</v>
      </c>
      <c r="E406" s="2">
        <v>19.28</v>
      </c>
      <c r="F406" s="2">
        <v>25.27</v>
      </c>
      <c r="G406" s="3">
        <v>349</v>
      </c>
      <c r="H406" s="3">
        <v>257</v>
      </c>
      <c r="I406" s="3">
        <v>92</v>
      </c>
      <c r="J406" s="3">
        <v>65</v>
      </c>
      <c r="K406" t="s">
        <v>20</v>
      </c>
      <c r="L406" s="2">
        <f t="shared" si="18"/>
        <v>5.9899999999999984</v>
      </c>
      <c r="M406" s="2">
        <f t="shared" si="19"/>
        <v>6494.39</v>
      </c>
      <c r="N406" s="2">
        <f t="shared" si="20"/>
        <v>1539.4299999999996</v>
      </c>
    </row>
    <row r="407" spans="1:14">
      <c r="A407" t="s">
        <v>516</v>
      </c>
      <c r="B407" t="s">
        <v>90</v>
      </c>
      <c r="C407" t="s">
        <v>88</v>
      </c>
      <c r="D407" t="s">
        <v>24</v>
      </c>
      <c r="E407" s="2">
        <v>46.92</v>
      </c>
      <c r="F407" s="2">
        <v>82.79</v>
      </c>
      <c r="G407" s="3">
        <v>110</v>
      </c>
      <c r="H407" s="3">
        <v>43</v>
      </c>
      <c r="I407" s="3">
        <v>67</v>
      </c>
      <c r="J407" s="3">
        <v>11</v>
      </c>
      <c r="K407" t="s">
        <v>20</v>
      </c>
      <c r="L407" s="2">
        <f t="shared" si="18"/>
        <v>35.870000000000005</v>
      </c>
      <c r="M407" s="2">
        <f t="shared" si="19"/>
        <v>3559.9700000000003</v>
      </c>
      <c r="N407" s="2">
        <f t="shared" si="20"/>
        <v>1542.4100000000003</v>
      </c>
    </row>
    <row r="408" spans="1:14">
      <c r="A408" t="s">
        <v>517</v>
      </c>
      <c r="B408" t="s">
        <v>44</v>
      </c>
      <c r="C408" t="s">
        <v>13</v>
      </c>
      <c r="D408" t="s">
        <v>42</v>
      </c>
      <c r="E408" s="2">
        <v>11.61</v>
      </c>
      <c r="F408" s="2">
        <v>18.79</v>
      </c>
      <c r="G408" s="3">
        <v>442</v>
      </c>
      <c r="H408" s="3">
        <v>364</v>
      </c>
      <c r="I408" s="3">
        <v>78</v>
      </c>
      <c r="J408" s="3">
        <v>48</v>
      </c>
      <c r="K408" t="s">
        <v>20</v>
      </c>
      <c r="L408" s="2">
        <f t="shared" si="18"/>
        <v>7.18</v>
      </c>
      <c r="M408" s="2">
        <f t="shared" si="19"/>
        <v>6839.5599999999995</v>
      </c>
      <c r="N408" s="2">
        <f t="shared" si="20"/>
        <v>2613.52</v>
      </c>
    </row>
    <row r="409" spans="1:14">
      <c r="A409" t="s">
        <v>518</v>
      </c>
      <c r="B409" t="s">
        <v>60</v>
      </c>
      <c r="C409" t="s">
        <v>47</v>
      </c>
      <c r="D409" t="s">
        <v>14</v>
      </c>
      <c r="E409" s="2">
        <v>11.05</v>
      </c>
      <c r="F409" s="2">
        <v>21.3</v>
      </c>
      <c r="G409" s="3">
        <v>66</v>
      </c>
      <c r="H409" s="3">
        <v>38</v>
      </c>
      <c r="I409" s="3">
        <v>28</v>
      </c>
      <c r="J409" s="3">
        <v>7</v>
      </c>
      <c r="K409" t="s">
        <v>20</v>
      </c>
      <c r="L409" s="2">
        <f t="shared" si="18"/>
        <v>10.25</v>
      </c>
      <c r="M409" s="2">
        <f t="shared" si="19"/>
        <v>809.4</v>
      </c>
      <c r="N409" s="2">
        <f t="shared" si="20"/>
        <v>389.5</v>
      </c>
    </row>
    <row r="410" spans="1:14">
      <c r="A410" t="s">
        <v>519</v>
      </c>
      <c r="B410" t="s">
        <v>237</v>
      </c>
      <c r="C410" t="s">
        <v>47</v>
      </c>
      <c r="D410" t="s">
        <v>39</v>
      </c>
      <c r="E410" s="2">
        <v>9.42</v>
      </c>
      <c r="F410" s="2">
        <v>19.3</v>
      </c>
      <c r="G410" s="3">
        <v>85</v>
      </c>
      <c r="H410" s="3">
        <v>33</v>
      </c>
      <c r="I410" s="3">
        <v>52</v>
      </c>
      <c r="J410" s="3">
        <v>19</v>
      </c>
      <c r="K410" t="s">
        <v>20</v>
      </c>
      <c r="L410" s="2">
        <f t="shared" si="18"/>
        <v>9.8800000000000008</v>
      </c>
      <c r="M410" s="2">
        <f t="shared" si="19"/>
        <v>636.9</v>
      </c>
      <c r="N410" s="2">
        <f t="shared" si="20"/>
        <v>326.04000000000002</v>
      </c>
    </row>
    <row r="411" spans="1:14">
      <c r="A411" t="s">
        <v>520</v>
      </c>
      <c r="B411" t="s">
        <v>81</v>
      </c>
      <c r="C411" t="s">
        <v>47</v>
      </c>
      <c r="D411" t="s">
        <v>77</v>
      </c>
      <c r="E411" s="2">
        <v>8.42</v>
      </c>
      <c r="F411" s="2">
        <v>17.2</v>
      </c>
      <c r="G411" s="3">
        <v>456</v>
      </c>
      <c r="H411" s="3">
        <v>106</v>
      </c>
      <c r="I411" s="3">
        <v>350</v>
      </c>
      <c r="J411" s="3">
        <v>87</v>
      </c>
      <c r="K411" t="s">
        <v>20</v>
      </c>
      <c r="L411" s="2">
        <f t="shared" si="18"/>
        <v>8.7799999999999994</v>
      </c>
      <c r="M411" s="2">
        <f t="shared" si="19"/>
        <v>1823.1999999999998</v>
      </c>
      <c r="N411" s="2">
        <f t="shared" si="20"/>
        <v>930.68</v>
      </c>
    </row>
    <row r="412" spans="1:14">
      <c r="A412" t="s">
        <v>521</v>
      </c>
      <c r="B412" t="s">
        <v>175</v>
      </c>
      <c r="C412" t="s">
        <v>88</v>
      </c>
      <c r="D412" t="s">
        <v>39</v>
      </c>
      <c r="E412" s="2">
        <v>39.76</v>
      </c>
      <c r="F412" s="2">
        <v>69.66</v>
      </c>
      <c r="G412" s="3">
        <v>341</v>
      </c>
      <c r="H412" s="3">
        <v>161</v>
      </c>
      <c r="I412" s="3">
        <v>180</v>
      </c>
      <c r="J412" s="3">
        <v>34</v>
      </c>
      <c r="K412" t="s">
        <v>20</v>
      </c>
      <c r="L412" s="2">
        <f t="shared" si="18"/>
        <v>29.9</v>
      </c>
      <c r="M412" s="2">
        <f t="shared" si="19"/>
        <v>11215.26</v>
      </c>
      <c r="N412" s="2">
        <f t="shared" si="20"/>
        <v>4813.8999999999996</v>
      </c>
    </row>
    <row r="413" spans="1:14">
      <c r="A413" t="s">
        <v>522</v>
      </c>
      <c r="B413" t="s">
        <v>222</v>
      </c>
      <c r="C413" t="s">
        <v>18</v>
      </c>
      <c r="D413" t="s">
        <v>19</v>
      </c>
      <c r="E413" s="2">
        <v>3.14</v>
      </c>
      <c r="F413" s="2">
        <v>6.17</v>
      </c>
      <c r="G413" s="3">
        <v>395</v>
      </c>
      <c r="H413" s="3">
        <v>136</v>
      </c>
      <c r="I413" s="3">
        <v>259</v>
      </c>
      <c r="J413" s="3">
        <v>68</v>
      </c>
      <c r="K413" t="s">
        <v>20</v>
      </c>
      <c r="L413" s="2">
        <f t="shared" si="18"/>
        <v>3.03</v>
      </c>
      <c r="M413" s="2">
        <f t="shared" si="19"/>
        <v>839.12</v>
      </c>
      <c r="N413" s="2">
        <f t="shared" si="20"/>
        <v>412.08</v>
      </c>
    </row>
    <row r="414" spans="1:14">
      <c r="A414" t="s">
        <v>523</v>
      </c>
      <c r="B414" t="s">
        <v>248</v>
      </c>
      <c r="C414" t="s">
        <v>27</v>
      </c>
      <c r="D414" t="s">
        <v>19</v>
      </c>
      <c r="E414" s="2">
        <v>20.28</v>
      </c>
      <c r="F414" s="2">
        <v>27.56</v>
      </c>
      <c r="G414" s="3">
        <v>302</v>
      </c>
      <c r="H414" s="3">
        <v>145</v>
      </c>
      <c r="I414" s="3">
        <v>157</v>
      </c>
      <c r="J414" s="3">
        <v>37</v>
      </c>
      <c r="K414" t="s">
        <v>20</v>
      </c>
      <c r="L414" s="2">
        <f t="shared" si="18"/>
        <v>7.2799999999999976</v>
      </c>
      <c r="M414" s="2">
        <f t="shared" si="19"/>
        <v>3996.2</v>
      </c>
      <c r="N414" s="2">
        <f t="shared" si="20"/>
        <v>1055.5999999999997</v>
      </c>
    </row>
    <row r="415" spans="1:14">
      <c r="A415" t="s">
        <v>524</v>
      </c>
      <c r="B415" t="s">
        <v>190</v>
      </c>
      <c r="C415" t="s">
        <v>18</v>
      </c>
      <c r="D415" t="s">
        <v>42</v>
      </c>
      <c r="E415" s="2">
        <v>19.25</v>
      </c>
      <c r="F415" s="2">
        <v>35.08</v>
      </c>
      <c r="G415" s="3">
        <v>161</v>
      </c>
      <c r="H415" s="3">
        <v>32</v>
      </c>
      <c r="I415" s="3">
        <v>129</v>
      </c>
      <c r="J415" s="3">
        <v>22</v>
      </c>
      <c r="K415" t="s">
        <v>20</v>
      </c>
      <c r="L415" s="2">
        <f t="shared" si="18"/>
        <v>15.829999999999998</v>
      </c>
      <c r="M415" s="2">
        <f t="shared" si="19"/>
        <v>1122.56</v>
      </c>
      <c r="N415" s="2">
        <f t="shared" si="20"/>
        <v>506.55999999999995</v>
      </c>
    </row>
    <row r="416" spans="1:14">
      <c r="A416" t="s">
        <v>525</v>
      </c>
      <c r="B416" t="s">
        <v>62</v>
      </c>
      <c r="C416" t="s">
        <v>13</v>
      </c>
      <c r="D416" t="s">
        <v>42</v>
      </c>
      <c r="E416" s="2">
        <v>6.46</v>
      </c>
      <c r="F416" s="2">
        <v>9.4499999999999993</v>
      </c>
      <c r="G416" s="3">
        <v>479</v>
      </c>
      <c r="H416" s="3">
        <v>285</v>
      </c>
      <c r="I416" s="3">
        <v>194</v>
      </c>
      <c r="J416" s="3">
        <v>65</v>
      </c>
      <c r="K416" t="s">
        <v>20</v>
      </c>
      <c r="L416" s="2">
        <f t="shared" si="18"/>
        <v>2.9899999999999993</v>
      </c>
      <c r="M416" s="2">
        <f t="shared" si="19"/>
        <v>2693.25</v>
      </c>
      <c r="N416" s="2">
        <f t="shared" si="20"/>
        <v>852.14999999999986</v>
      </c>
    </row>
    <row r="417" spans="1:14">
      <c r="A417" t="s">
        <v>526</v>
      </c>
      <c r="B417" t="s">
        <v>202</v>
      </c>
      <c r="C417" t="s">
        <v>13</v>
      </c>
      <c r="D417" t="s">
        <v>39</v>
      </c>
      <c r="E417" s="2">
        <v>19.690000000000001</v>
      </c>
      <c r="F417" s="2">
        <v>27.45</v>
      </c>
      <c r="G417" s="3">
        <v>263</v>
      </c>
      <c r="H417" s="3">
        <v>164</v>
      </c>
      <c r="I417" s="3">
        <v>99</v>
      </c>
      <c r="J417" s="3">
        <v>42</v>
      </c>
      <c r="K417" t="s">
        <v>20</v>
      </c>
      <c r="L417" s="2">
        <f t="shared" si="18"/>
        <v>7.759999999999998</v>
      </c>
      <c r="M417" s="2">
        <f t="shared" si="19"/>
        <v>4501.8</v>
      </c>
      <c r="N417" s="2">
        <f t="shared" si="20"/>
        <v>1272.6399999999996</v>
      </c>
    </row>
    <row r="418" spans="1:14">
      <c r="A418" t="s">
        <v>527</v>
      </c>
      <c r="B418" t="s">
        <v>85</v>
      </c>
      <c r="C418" t="s">
        <v>27</v>
      </c>
      <c r="D418" t="s">
        <v>77</v>
      </c>
      <c r="E418" s="2">
        <v>12.43</v>
      </c>
      <c r="F418" s="2">
        <v>24.87</v>
      </c>
      <c r="G418" s="3">
        <v>429</v>
      </c>
      <c r="H418" s="3">
        <v>322</v>
      </c>
      <c r="I418" s="3">
        <v>107</v>
      </c>
      <c r="J418" s="3">
        <v>106</v>
      </c>
      <c r="K418" t="s">
        <v>20</v>
      </c>
      <c r="L418" s="2">
        <f t="shared" si="18"/>
        <v>12.440000000000001</v>
      </c>
      <c r="M418" s="2">
        <f t="shared" si="19"/>
        <v>8008.14</v>
      </c>
      <c r="N418" s="2">
        <f t="shared" si="20"/>
        <v>4005.6800000000003</v>
      </c>
    </row>
    <row r="419" spans="1:14">
      <c r="A419" t="s">
        <v>528</v>
      </c>
      <c r="B419" t="s">
        <v>124</v>
      </c>
      <c r="C419" t="s">
        <v>88</v>
      </c>
      <c r="D419" t="s">
        <v>24</v>
      </c>
      <c r="E419" s="2">
        <v>21.41</v>
      </c>
      <c r="F419" s="2">
        <v>46.97</v>
      </c>
      <c r="G419" s="3">
        <v>35</v>
      </c>
      <c r="H419" s="3">
        <v>14</v>
      </c>
      <c r="I419" s="3">
        <v>21</v>
      </c>
      <c r="J419" s="3">
        <v>3</v>
      </c>
      <c r="K419" t="s">
        <v>20</v>
      </c>
      <c r="L419" s="2">
        <f t="shared" si="18"/>
        <v>25.56</v>
      </c>
      <c r="M419" s="2">
        <f t="shared" si="19"/>
        <v>657.57999999999993</v>
      </c>
      <c r="N419" s="2">
        <f t="shared" si="20"/>
        <v>357.84</v>
      </c>
    </row>
    <row r="420" spans="1:14">
      <c r="A420" t="s">
        <v>529</v>
      </c>
      <c r="B420" t="s">
        <v>58</v>
      </c>
      <c r="C420" t="s">
        <v>18</v>
      </c>
      <c r="D420" t="s">
        <v>28</v>
      </c>
      <c r="E420" s="2">
        <v>8.82</v>
      </c>
      <c r="F420" s="2">
        <v>14.42</v>
      </c>
      <c r="G420" s="3">
        <v>229</v>
      </c>
      <c r="H420" s="3">
        <v>111</v>
      </c>
      <c r="I420" s="3">
        <v>118</v>
      </c>
      <c r="J420" s="3">
        <v>40</v>
      </c>
      <c r="K420" t="s">
        <v>20</v>
      </c>
      <c r="L420" s="2">
        <f t="shared" si="18"/>
        <v>5.6</v>
      </c>
      <c r="M420" s="2">
        <f t="shared" si="19"/>
        <v>1600.62</v>
      </c>
      <c r="N420" s="2">
        <f t="shared" si="20"/>
        <v>621.59999999999991</v>
      </c>
    </row>
    <row r="421" spans="1:14">
      <c r="A421" t="s">
        <v>530</v>
      </c>
      <c r="B421" t="s">
        <v>56</v>
      </c>
      <c r="C421" t="s">
        <v>23</v>
      </c>
      <c r="D421" t="s">
        <v>39</v>
      </c>
      <c r="E421" s="2">
        <v>1.71</v>
      </c>
      <c r="F421" s="2">
        <v>2.48</v>
      </c>
      <c r="G421" s="3">
        <v>63</v>
      </c>
      <c r="H421" s="3">
        <v>27</v>
      </c>
      <c r="I421" s="3">
        <v>36</v>
      </c>
      <c r="J421" s="3">
        <v>9</v>
      </c>
      <c r="K421" t="s">
        <v>20</v>
      </c>
      <c r="L421" s="2">
        <f t="shared" si="18"/>
        <v>0.77</v>
      </c>
      <c r="M421" s="2">
        <f t="shared" si="19"/>
        <v>66.959999999999994</v>
      </c>
      <c r="N421" s="2">
        <f t="shared" si="20"/>
        <v>20.79</v>
      </c>
    </row>
    <row r="422" spans="1:14">
      <c r="A422" t="s">
        <v>531</v>
      </c>
      <c r="B422" t="s">
        <v>202</v>
      </c>
      <c r="C422" t="s">
        <v>13</v>
      </c>
      <c r="D422" t="s">
        <v>28</v>
      </c>
      <c r="E422" s="2">
        <v>7.14</v>
      </c>
      <c r="F422" s="2">
        <v>11.65</v>
      </c>
      <c r="G422" s="3">
        <v>21</v>
      </c>
      <c r="H422" s="3">
        <v>10</v>
      </c>
      <c r="I422" s="3">
        <v>11</v>
      </c>
      <c r="J422" s="3">
        <v>4</v>
      </c>
      <c r="K422" t="s">
        <v>20</v>
      </c>
      <c r="L422" s="2">
        <f t="shared" si="18"/>
        <v>4.5100000000000007</v>
      </c>
      <c r="M422" s="2">
        <f t="shared" si="19"/>
        <v>116.5</v>
      </c>
      <c r="N422" s="2">
        <f t="shared" si="20"/>
        <v>45.100000000000009</v>
      </c>
    </row>
    <row r="423" spans="1:14">
      <c r="A423" t="s">
        <v>532</v>
      </c>
      <c r="B423" t="s">
        <v>323</v>
      </c>
      <c r="C423" t="s">
        <v>27</v>
      </c>
      <c r="D423" t="s">
        <v>77</v>
      </c>
      <c r="E423" s="2">
        <v>23.78</v>
      </c>
      <c r="F423" s="2">
        <v>33.119999999999997</v>
      </c>
      <c r="G423" s="3">
        <v>296</v>
      </c>
      <c r="H423" s="3">
        <v>277</v>
      </c>
      <c r="I423" s="3">
        <v>19</v>
      </c>
      <c r="J423" s="3">
        <v>46</v>
      </c>
      <c r="K423" t="s">
        <v>15</v>
      </c>
      <c r="L423" s="2">
        <f t="shared" si="18"/>
        <v>9.3399999999999963</v>
      </c>
      <c r="M423" s="2">
        <f t="shared" si="19"/>
        <v>9174.24</v>
      </c>
      <c r="N423" s="2">
        <f t="shared" si="20"/>
        <v>2587.1799999999989</v>
      </c>
    </row>
    <row r="424" spans="1:14">
      <c r="A424" t="s">
        <v>533</v>
      </c>
      <c r="B424" t="s">
        <v>119</v>
      </c>
      <c r="C424" t="s">
        <v>33</v>
      </c>
      <c r="D424" t="s">
        <v>14</v>
      </c>
      <c r="E424" s="2">
        <v>10.87</v>
      </c>
      <c r="F424" s="2">
        <v>17.88</v>
      </c>
      <c r="G424" s="3">
        <v>49</v>
      </c>
      <c r="H424" s="3">
        <v>33</v>
      </c>
      <c r="I424" s="3">
        <v>16</v>
      </c>
      <c r="J424" s="3">
        <v>8</v>
      </c>
      <c r="K424" t="s">
        <v>20</v>
      </c>
      <c r="L424" s="2">
        <f t="shared" si="18"/>
        <v>7.01</v>
      </c>
      <c r="M424" s="2">
        <f t="shared" si="19"/>
        <v>590.04</v>
      </c>
      <c r="N424" s="2">
        <f t="shared" si="20"/>
        <v>231.32999999999998</v>
      </c>
    </row>
    <row r="425" spans="1:14">
      <c r="A425" t="s">
        <v>534</v>
      </c>
      <c r="B425" t="s">
        <v>119</v>
      </c>
      <c r="C425" t="s">
        <v>33</v>
      </c>
      <c r="D425" t="s">
        <v>19</v>
      </c>
      <c r="E425" s="2">
        <v>3.12</v>
      </c>
      <c r="F425" s="2">
        <v>4.4400000000000004</v>
      </c>
      <c r="G425" s="3">
        <v>76</v>
      </c>
      <c r="H425" s="3">
        <v>36</v>
      </c>
      <c r="I425" s="3">
        <v>40</v>
      </c>
      <c r="J425" s="3">
        <v>11</v>
      </c>
      <c r="K425" t="s">
        <v>20</v>
      </c>
      <c r="L425" s="2">
        <f t="shared" si="18"/>
        <v>1.3200000000000003</v>
      </c>
      <c r="M425" s="2">
        <f t="shared" si="19"/>
        <v>159.84</v>
      </c>
      <c r="N425" s="2">
        <f t="shared" si="20"/>
        <v>47.52000000000001</v>
      </c>
    </row>
    <row r="426" spans="1:14">
      <c r="A426" t="s">
        <v>535</v>
      </c>
      <c r="B426" t="s">
        <v>202</v>
      </c>
      <c r="C426" t="s">
        <v>13</v>
      </c>
      <c r="D426" t="s">
        <v>28</v>
      </c>
      <c r="E426" s="2">
        <v>8.1300000000000008</v>
      </c>
      <c r="F426" s="2">
        <v>14.63</v>
      </c>
      <c r="G426" s="3">
        <v>202</v>
      </c>
      <c r="H426" s="3">
        <v>37</v>
      </c>
      <c r="I426" s="3">
        <v>165</v>
      </c>
      <c r="J426" s="3">
        <v>48</v>
      </c>
      <c r="K426" t="s">
        <v>20</v>
      </c>
      <c r="L426" s="2">
        <f t="shared" si="18"/>
        <v>6.5</v>
      </c>
      <c r="M426" s="2">
        <f t="shared" si="19"/>
        <v>541.31000000000006</v>
      </c>
      <c r="N426" s="2">
        <f t="shared" si="20"/>
        <v>240.5</v>
      </c>
    </row>
    <row r="427" spans="1:14">
      <c r="A427" t="s">
        <v>536</v>
      </c>
      <c r="B427" t="s">
        <v>190</v>
      </c>
      <c r="C427" t="s">
        <v>18</v>
      </c>
      <c r="D427" t="s">
        <v>48</v>
      </c>
      <c r="E427" s="2">
        <v>16.02</v>
      </c>
      <c r="F427" s="2">
        <v>32.049999999999997</v>
      </c>
      <c r="G427" s="3">
        <v>88</v>
      </c>
      <c r="H427" s="3">
        <v>83</v>
      </c>
      <c r="I427" s="3">
        <v>5</v>
      </c>
      <c r="J427" s="3">
        <v>11</v>
      </c>
      <c r="K427" t="s">
        <v>15</v>
      </c>
      <c r="L427" s="2">
        <f t="shared" si="18"/>
        <v>16.029999999999998</v>
      </c>
      <c r="M427" s="2">
        <f t="shared" si="19"/>
        <v>2660.1499999999996</v>
      </c>
      <c r="N427" s="2">
        <f t="shared" si="20"/>
        <v>1330.4899999999998</v>
      </c>
    </row>
    <row r="428" spans="1:14">
      <c r="A428" t="s">
        <v>537</v>
      </c>
      <c r="B428" t="s">
        <v>87</v>
      </c>
      <c r="C428" t="s">
        <v>88</v>
      </c>
      <c r="D428" t="s">
        <v>54</v>
      </c>
      <c r="E428" s="2">
        <v>73.819999999999993</v>
      </c>
      <c r="F428" s="2">
        <v>152.66</v>
      </c>
      <c r="G428" s="3">
        <v>48</v>
      </c>
      <c r="H428" s="3">
        <v>20</v>
      </c>
      <c r="I428" s="3">
        <v>28</v>
      </c>
      <c r="J428" s="3">
        <v>8</v>
      </c>
      <c r="K428" t="s">
        <v>20</v>
      </c>
      <c r="L428" s="2">
        <f t="shared" si="18"/>
        <v>78.84</v>
      </c>
      <c r="M428" s="2">
        <f t="shared" si="19"/>
        <v>3053.2</v>
      </c>
      <c r="N428" s="2">
        <f t="shared" si="20"/>
        <v>1576.8000000000002</v>
      </c>
    </row>
    <row r="429" spans="1:14">
      <c r="A429" t="s">
        <v>538</v>
      </c>
      <c r="B429" t="s">
        <v>79</v>
      </c>
      <c r="C429" t="s">
        <v>13</v>
      </c>
      <c r="D429" t="s">
        <v>39</v>
      </c>
      <c r="E429" s="2">
        <v>6.12</v>
      </c>
      <c r="F429" s="2">
        <v>8.16</v>
      </c>
      <c r="G429" s="3">
        <v>471</v>
      </c>
      <c r="H429" s="3">
        <v>254</v>
      </c>
      <c r="I429" s="3">
        <v>217</v>
      </c>
      <c r="J429" s="3">
        <v>84</v>
      </c>
      <c r="K429" t="s">
        <v>20</v>
      </c>
      <c r="L429" s="2">
        <f t="shared" si="18"/>
        <v>2.04</v>
      </c>
      <c r="M429" s="2">
        <f t="shared" si="19"/>
        <v>2072.64</v>
      </c>
      <c r="N429" s="2">
        <f t="shared" si="20"/>
        <v>518.16</v>
      </c>
    </row>
    <row r="430" spans="1:14">
      <c r="A430" t="s">
        <v>539</v>
      </c>
      <c r="B430" t="s">
        <v>299</v>
      </c>
      <c r="C430" t="s">
        <v>13</v>
      </c>
      <c r="D430" t="s">
        <v>39</v>
      </c>
      <c r="E430" s="2">
        <v>14.15</v>
      </c>
      <c r="F430" s="2">
        <v>23.4</v>
      </c>
      <c r="G430" s="3">
        <v>302</v>
      </c>
      <c r="H430" s="3">
        <v>232</v>
      </c>
      <c r="I430" s="3">
        <v>70</v>
      </c>
      <c r="J430" s="3">
        <v>58</v>
      </c>
      <c r="K430" t="s">
        <v>20</v>
      </c>
      <c r="L430" s="2">
        <f t="shared" si="18"/>
        <v>9.2499999999999982</v>
      </c>
      <c r="M430" s="2">
        <f t="shared" si="19"/>
        <v>5428.7999999999993</v>
      </c>
      <c r="N430" s="2">
        <f t="shared" si="20"/>
        <v>2145.9999999999995</v>
      </c>
    </row>
    <row r="431" spans="1:14">
      <c r="A431" t="s">
        <v>540</v>
      </c>
      <c r="B431" t="s">
        <v>50</v>
      </c>
      <c r="C431" t="s">
        <v>33</v>
      </c>
      <c r="D431" t="s">
        <v>48</v>
      </c>
      <c r="E431" s="2">
        <v>7.78</v>
      </c>
      <c r="F431" s="2">
        <v>15.12</v>
      </c>
      <c r="G431" s="3">
        <v>365</v>
      </c>
      <c r="H431" s="3">
        <v>159</v>
      </c>
      <c r="I431" s="3">
        <v>206</v>
      </c>
      <c r="J431" s="3">
        <v>76</v>
      </c>
      <c r="K431" t="s">
        <v>20</v>
      </c>
      <c r="L431" s="2">
        <f t="shared" si="18"/>
        <v>7.339999999999999</v>
      </c>
      <c r="M431" s="2">
        <f t="shared" si="19"/>
        <v>2404.08</v>
      </c>
      <c r="N431" s="2">
        <f t="shared" si="20"/>
        <v>1167.06</v>
      </c>
    </row>
    <row r="432" spans="1:14">
      <c r="A432" t="s">
        <v>541</v>
      </c>
      <c r="B432" t="s">
        <v>183</v>
      </c>
      <c r="C432" t="s">
        <v>53</v>
      </c>
      <c r="D432" t="s">
        <v>24</v>
      </c>
      <c r="E432" s="2">
        <v>17.149999999999999</v>
      </c>
      <c r="F432" s="2">
        <v>33.82</v>
      </c>
      <c r="G432" s="3">
        <v>459</v>
      </c>
      <c r="H432" s="3">
        <v>60</v>
      </c>
      <c r="I432" s="3">
        <v>399</v>
      </c>
      <c r="J432" s="3">
        <v>64</v>
      </c>
      <c r="K432" t="s">
        <v>20</v>
      </c>
      <c r="L432" s="2">
        <f t="shared" si="18"/>
        <v>16.670000000000002</v>
      </c>
      <c r="M432" s="2">
        <f t="shared" si="19"/>
        <v>2029.2</v>
      </c>
      <c r="N432" s="2">
        <f t="shared" si="20"/>
        <v>1000.2</v>
      </c>
    </row>
    <row r="433" spans="1:14">
      <c r="A433" t="s">
        <v>542</v>
      </c>
      <c r="B433" t="s">
        <v>126</v>
      </c>
      <c r="C433" t="s">
        <v>23</v>
      </c>
      <c r="D433" t="s">
        <v>24</v>
      </c>
      <c r="E433" s="2">
        <v>2.44</v>
      </c>
      <c r="F433" s="2">
        <v>4.78</v>
      </c>
      <c r="G433" s="3">
        <v>344</v>
      </c>
      <c r="H433" s="3">
        <v>128</v>
      </c>
      <c r="I433" s="3">
        <v>216</v>
      </c>
      <c r="J433" s="3">
        <v>72</v>
      </c>
      <c r="K433" t="s">
        <v>20</v>
      </c>
      <c r="L433" s="2">
        <f t="shared" si="18"/>
        <v>2.3400000000000003</v>
      </c>
      <c r="M433" s="2">
        <f t="shared" si="19"/>
        <v>611.84</v>
      </c>
      <c r="N433" s="2">
        <f t="shared" si="20"/>
        <v>299.52000000000004</v>
      </c>
    </row>
    <row r="434" spans="1:14">
      <c r="A434" t="s">
        <v>543</v>
      </c>
      <c r="B434" t="s">
        <v>97</v>
      </c>
      <c r="C434" t="s">
        <v>53</v>
      </c>
      <c r="D434" t="s">
        <v>100</v>
      </c>
      <c r="E434" s="2">
        <v>14.63</v>
      </c>
      <c r="F434" s="2">
        <v>22.44</v>
      </c>
      <c r="G434" s="3">
        <v>260</v>
      </c>
      <c r="H434" s="3">
        <v>30</v>
      </c>
      <c r="I434" s="3">
        <v>230</v>
      </c>
      <c r="J434" s="3">
        <v>62</v>
      </c>
      <c r="K434" t="s">
        <v>20</v>
      </c>
      <c r="L434" s="2">
        <f t="shared" si="18"/>
        <v>7.8100000000000005</v>
      </c>
      <c r="M434" s="2">
        <f t="shared" si="19"/>
        <v>673.2</v>
      </c>
      <c r="N434" s="2">
        <f t="shared" si="20"/>
        <v>234.3</v>
      </c>
    </row>
    <row r="435" spans="1:14">
      <c r="A435" t="s">
        <v>544</v>
      </c>
      <c r="B435" t="s">
        <v>179</v>
      </c>
      <c r="C435" t="s">
        <v>53</v>
      </c>
      <c r="D435" t="s">
        <v>24</v>
      </c>
      <c r="E435" s="2">
        <v>16.77</v>
      </c>
      <c r="F435" s="2">
        <v>28.37</v>
      </c>
      <c r="G435" s="3">
        <v>46</v>
      </c>
      <c r="H435" s="3">
        <v>9</v>
      </c>
      <c r="I435" s="3">
        <v>37</v>
      </c>
      <c r="J435" s="3">
        <v>8</v>
      </c>
      <c r="K435" t="s">
        <v>20</v>
      </c>
      <c r="L435" s="2">
        <f t="shared" si="18"/>
        <v>11.600000000000001</v>
      </c>
      <c r="M435" s="2">
        <f t="shared" si="19"/>
        <v>255.33</v>
      </c>
      <c r="N435" s="2">
        <f t="shared" si="20"/>
        <v>104.4</v>
      </c>
    </row>
    <row r="436" spans="1:14">
      <c r="A436" t="s">
        <v>545</v>
      </c>
      <c r="B436" t="s">
        <v>79</v>
      </c>
      <c r="C436" t="s">
        <v>13</v>
      </c>
      <c r="D436" t="s">
        <v>28</v>
      </c>
      <c r="E436" s="2">
        <v>29.87</v>
      </c>
      <c r="F436" s="2">
        <v>48.45</v>
      </c>
      <c r="G436" s="3">
        <v>205</v>
      </c>
      <c r="H436" s="3">
        <v>137</v>
      </c>
      <c r="I436" s="3">
        <v>68</v>
      </c>
      <c r="J436" s="3">
        <v>48</v>
      </c>
      <c r="K436" t="s">
        <v>20</v>
      </c>
      <c r="L436" s="2">
        <f t="shared" si="18"/>
        <v>18.580000000000002</v>
      </c>
      <c r="M436" s="2">
        <f t="shared" si="19"/>
        <v>6637.6500000000005</v>
      </c>
      <c r="N436" s="2">
        <f t="shared" si="20"/>
        <v>2545.46</v>
      </c>
    </row>
    <row r="437" spans="1:14">
      <c r="A437" t="s">
        <v>546</v>
      </c>
      <c r="B437" t="s">
        <v>35</v>
      </c>
      <c r="C437" t="s">
        <v>13</v>
      </c>
      <c r="D437" t="s">
        <v>100</v>
      </c>
      <c r="E437" s="2">
        <v>8.6999999999999993</v>
      </c>
      <c r="F437" s="2">
        <v>18.440000000000001</v>
      </c>
      <c r="G437" s="3">
        <v>120</v>
      </c>
      <c r="H437" s="3">
        <v>65</v>
      </c>
      <c r="I437" s="3">
        <v>55</v>
      </c>
      <c r="J437" s="3">
        <v>12</v>
      </c>
      <c r="K437" t="s">
        <v>20</v>
      </c>
      <c r="L437" s="2">
        <f t="shared" si="18"/>
        <v>9.740000000000002</v>
      </c>
      <c r="M437" s="2">
        <f t="shared" si="19"/>
        <v>1198.6000000000001</v>
      </c>
      <c r="N437" s="2">
        <f t="shared" si="20"/>
        <v>633.10000000000014</v>
      </c>
    </row>
    <row r="438" spans="1:14">
      <c r="A438" t="s">
        <v>547</v>
      </c>
      <c r="B438" t="s">
        <v>26</v>
      </c>
      <c r="C438" t="s">
        <v>27</v>
      </c>
      <c r="D438" t="s">
        <v>14</v>
      </c>
      <c r="E438" s="2">
        <v>4.34</v>
      </c>
      <c r="F438" s="2">
        <v>9.01</v>
      </c>
      <c r="G438" s="3">
        <v>141</v>
      </c>
      <c r="H438" s="3">
        <v>105</v>
      </c>
      <c r="I438" s="3">
        <v>36</v>
      </c>
      <c r="J438" s="3">
        <v>33</v>
      </c>
      <c r="K438" t="s">
        <v>20</v>
      </c>
      <c r="L438" s="2">
        <f t="shared" si="18"/>
        <v>4.67</v>
      </c>
      <c r="M438" s="2">
        <f t="shared" si="19"/>
        <v>946.05</v>
      </c>
      <c r="N438" s="2">
        <f t="shared" si="20"/>
        <v>490.34999999999997</v>
      </c>
    </row>
    <row r="439" spans="1:14">
      <c r="A439" t="s">
        <v>548</v>
      </c>
      <c r="B439" t="s">
        <v>147</v>
      </c>
      <c r="C439" t="s">
        <v>33</v>
      </c>
      <c r="D439" t="s">
        <v>48</v>
      </c>
      <c r="E439" s="2">
        <v>4.3600000000000003</v>
      </c>
      <c r="F439" s="2">
        <v>6.82</v>
      </c>
      <c r="G439" s="3">
        <v>339</v>
      </c>
      <c r="H439" s="3">
        <v>48</v>
      </c>
      <c r="I439" s="3">
        <v>291</v>
      </c>
      <c r="J439" s="3">
        <v>80</v>
      </c>
      <c r="K439" t="s">
        <v>20</v>
      </c>
      <c r="L439" s="2">
        <f t="shared" si="18"/>
        <v>2.46</v>
      </c>
      <c r="M439" s="2">
        <f t="shared" si="19"/>
        <v>327.36</v>
      </c>
      <c r="N439" s="2">
        <f t="shared" si="20"/>
        <v>118.08</v>
      </c>
    </row>
    <row r="440" spans="1:14">
      <c r="A440" t="s">
        <v>549</v>
      </c>
      <c r="B440" t="s">
        <v>17</v>
      </c>
      <c r="C440" t="s">
        <v>18</v>
      </c>
      <c r="D440" t="s">
        <v>19</v>
      </c>
      <c r="E440" s="2">
        <v>17.32</v>
      </c>
      <c r="F440" s="2">
        <v>27.31</v>
      </c>
      <c r="G440" s="3">
        <v>254</v>
      </c>
      <c r="H440" s="3">
        <v>181</v>
      </c>
      <c r="I440" s="3">
        <v>73</v>
      </c>
      <c r="J440" s="3">
        <v>49</v>
      </c>
      <c r="K440" t="s">
        <v>20</v>
      </c>
      <c r="L440" s="2">
        <f t="shared" si="18"/>
        <v>9.9899999999999984</v>
      </c>
      <c r="M440" s="2">
        <f t="shared" si="19"/>
        <v>4943.1099999999997</v>
      </c>
      <c r="N440" s="2">
        <f t="shared" si="20"/>
        <v>1808.1899999999998</v>
      </c>
    </row>
    <row r="441" spans="1:14">
      <c r="A441" t="s">
        <v>550</v>
      </c>
      <c r="B441" t="s">
        <v>46</v>
      </c>
      <c r="C441" t="s">
        <v>47</v>
      </c>
      <c r="D441" t="s">
        <v>100</v>
      </c>
      <c r="E441" s="2">
        <v>2.4300000000000002</v>
      </c>
      <c r="F441" s="2">
        <v>3.35</v>
      </c>
      <c r="G441" s="3">
        <v>109</v>
      </c>
      <c r="H441" s="3">
        <v>80</v>
      </c>
      <c r="I441" s="3">
        <v>29</v>
      </c>
      <c r="J441" s="3">
        <v>25</v>
      </c>
      <c r="K441" t="s">
        <v>20</v>
      </c>
      <c r="L441" s="2">
        <f t="shared" si="18"/>
        <v>0.91999999999999993</v>
      </c>
      <c r="M441" s="2">
        <f t="shared" si="19"/>
        <v>268</v>
      </c>
      <c r="N441" s="2">
        <f t="shared" si="20"/>
        <v>73.599999999999994</v>
      </c>
    </row>
    <row r="442" spans="1:14">
      <c r="A442" t="s">
        <v>551</v>
      </c>
      <c r="B442" t="s">
        <v>83</v>
      </c>
      <c r="C442" t="s">
        <v>47</v>
      </c>
      <c r="D442" t="s">
        <v>28</v>
      </c>
      <c r="E442" s="2">
        <v>7.83</v>
      </c>
      <c r="F442" s="2">
        <v>11.87</v>
      </c>
      <c r="G442" s="3">
        <v>137</v>
      </c>
      <c r="H442" s="3">
        <v>65</v>
      </c>
      <c r="I442" s="3">
        <v>72</v>
      </c>
      <c r="J442" s="3">
        <v>21</v>
      </c>
      <c r="K442" t="s">
        <v>20</v>
      </c>
      <c r="L442" s="2">
        <f t="shared" si="18"/>
        <v>4.0399999999999991</v>
      </c>
      <c r="M442" s="2">
        <f t="shared" si="19"/>
        <v>771.55</v>
      </c>
      <c r="N442" s="2">
        <f t="shared" si="20"/>
        <v>262.59999999999997</v>
      </c>
    </row>
    <row r="443" spans="1:14">
      <c r="A443" t="s">
        <v>552</v>
      </c>
      <c r="B443" t="s">
        <v>22</v>
      </c>
      <c r="C443" t="s">
        <v>23</v>
      </c>
      <c r="D443" t="s">
        <v>19</v>
      </c>
      <c r="E443" s="2">
        <v>14.58</v>
      </c>
      <c r="F443" s="2">
        <v>25.11</v>
      </c>
      <c r="G443" s="3">
        <v>419</v>
      </c>
      <c r="H443" s="3">
        <v>58</v>
      </c>
      <c r="I443" s="3">
        <v>361</v>
      </c>
      <c r="J443" s="3">
        <v>42</v>
      </c>
      <c r="K443" t="s">
        <v>20</v>
      </c>
      <c r="L443" s="2">
        <f t="shared" si="18"/>
        <v>10.53</v>
      </c>
      <c r="M443" s="2">
        <f t="shared" si="19"/>
        <v>1456.3799999999999</v>
      </c>
      <c r="N443" s="2">
        <f t="shared" si="20"/>
        <v>610.74</v>
      </c>
    </row>
    <row r="444" spans="1:14">
      <c r="A444" t="s">
        <v>553</v>
      </c>
      <c r="B444" t="s">
        <v>102</v>
      </c>
      <c r="C444" t="s">
        <v>53</v>
      </c>
      <c r="D444" t="s">
        <v>24</v>
      </c>
      <c r="E444" s="2">
        <v>31.33</v>
      </c>
      <c r="F444" s="2">
        <v>56.12</v>
      </c>
      <c r="G444" s="3">
        <v>264</v>
      </c>
      <c r="H444" s="3">
        <v>45</v>
      </c>
      <c r="I444" s="3">
        <v>219</v>
      </c>
      <c r="J444" s="3">
        <v>48</v>
      </c>
      <c r="K444" t="s">
        <v>20</v>
      </c>
      <c r="L444" s="2">
        <f t="shared" si="18"/>
        <v>24.79</v>
      </c>
      <c r="M444" s="2">
        <f t="shared" si="19"/>
        <v>2525.4</v>
      </c>
      <c r="N444" s="2">
        <f t="shared" si="20"/>
        <v>1115.55</v>
      </c>
    </row>
    <row r="445" spans="1:14">
      <c r="A445" t="s">
        <v>554</v>
      </c>
      <c r="B445" t="s">
        <v>90</v>
      </c>
      <c r="C445" t="s">
        <v>88</v>
      </c>
      <c r="D445" t="s">
        <v>100</v>
      </c>
      <c r="E445" s="2">
        <v>28.47</v>
      </c>
      <c r="F445" s="2">
        <v>52.56</v>
      </c>
      <c r="G445" s="3">
        <v>30</v>
      </c>
      <c r="H445" s="3">
        <v>17</v>
      </c>
      <c r="I445" s="3">
        <v>13</v>
      </c>
      <c r="J445" s="3">
        <v>3</v>
      </c>
      <c r="K445" t="s">
        <v>20</v>
      </c>
      <c r="L445" s="2">
        <f t="shared" si="18"/>
        <v>24.090000000000003</v>
      </c>
      <c r="M445" s="2">
        <f t="shared" si="19"/>
        <v>893.52</v>
      </c>
      <c r="N445" s="2">
        <f t="shared" si="20"/>
        <v>409.53000000000009</v>
      </c>
    </row>
    <row r="446" spans="1:14">
      <c r="A446" t="s">
        <v>555</v>
      </c>
      <c r="B446" t="s">
        <v>110</v>
      </c>
      <c r="C446" t="s">
        <v>27</v>
      </c>
      <c r="D446" t="s">
        <v>48</v>
      </c>
      <c r="E446" s="2">
        <v>24.82</v>
      </c>
      <c r="F446" s="2">
        <v>49.11</v>
      </c>
      <c r="G446" s="3">
        <v>91</v>
      </c>
      <c r="H446" s="3">
        <v>80</v>
      </c>
      <c r="I446" s="3">
        <v>11</v>
      </c>
      <c r="J446" s="3">
        <v>12</v>
      </c>
      <c r="K446" t="s">
        <v>15</v>
      </c>
      <c r="L446" s="2">
        <f t="shared" si="18"/>
        <v>24.29</v>
      </c>
      <c r="M446" s="2">
        <f t="shared" si="19"/>
        <v>3928.8</v>
      </c>
      <c r="N446" s="2">
        <f t="shared" si="20"/>
        <v>1943.1999999999998</v>
      </c>
    </row>
    <row r="447" spans="1:14">
      <c r="A447" t="s">
        <v>556</v>
      </c>
      <c r="B447" t="s">
        <v>17</v>
      </c>
      <c r="C447" t="s">
        <v>18</v>
      </c>
      <c r="D447" t="s">
        <v>19</v>
      </c>
      <c r="E447" s="2">
        <v>12.43</v>
      </c>
      <c r="F447" s="2">
        <v>27.02</v>
      </c>
      <c r="G447" s="3">
        <v>308</v>
      </c>
      <c r="H447" s="3">
        <v>266</v>
      </c>
      <c r="I447" s="3">
        <v>42</v>
      </c>
      <c r="J447" s="3">
        <v>65</v>
      </c>
      <c r="K447" t="s">
        <v>15</v>
      </c>
      <c r="L447" s="2">
        <f t="shared" si="18"/>
        <v>14.59</v>
      </c>
      <c r="M447" s="2">
        <f t="shared" si="19"/>
        <v>7187.32</v>
      </c>
      <c r="N447" s="2">
        <f t="shared" si="20"/>
        <v>3880.94</v>
      </c>
    </row>
    <row r="448" spans="1:14">
      <c r="A448" t="s">
        <v>557</v>
      </c>
      <c r="B448" t="s">
        <v>190</v>
      </c>
      <c r="C448" t="s">
        <v>18</v>
      </c>
      <c r="D448" t="s">
        <v>48</v>
      </c>
      <c r="E448" s="2">
        <v>11.83</v>
      </c>
      <c r="F448" s="2">
        <v>19.12</v>
      </c>
      <c r="G448" s="3">
        <v>498</v>
      </c>
      <c r="H448" s="3">
        <v>96</v>
      </c>
      <c r="I448" s="3">
        <v>402</v>
      </c>
      <c r="J448" s="3">
        <v>99</v>
      </c>
      <c r="K448" t="s">
        <v>20</v>
      </c>
      <c r="L448" s="2">
        <f t="shared" si="18"/>
        <v>7.2900000000000009</v>
      </c>
      <c r="M448" s="2">
        <f t="shared" si="19"/>
        <v>1835.52</v>
      </c>
      <c r="N448" s="2">
        <f t="shared" si="20"/>
        <v>699.84000000000015</v>
      </c>
    </row>
    <row r="449" spans="1:14">
      <c r="A449" t="s">
        <v>558</v>
      </c>
      <c r="B449" t="s">
        <v>12</v>
      </c>
      <c r="C449" t="s">
        <v>13</v>
      </c>
      <c r="D449" t="s">
        <v>42</v>
      </c>
      <c r="E449" s="2">
        <v>17.72</v>
      </c>
      <c r="F449" s="2">
        <v>33.29</v>
      </c>
      <c r="G449" s="3">
        <v>450</v>
      </c>
      <c r="H449" s="3">
        <v>231</v>
      </c>
      <c r="I449" s="3">
        <v>219</v>
      </c>
      <c r="J449" s="3">
        <v>55</v>
      </c>
      <c r="K449" t="s">
        <v>20</v>
      </c>
      <c r="L449" s="2">
        <f t="shared" si="18"/>
        <v>15.57</v>
      </c>
      <c r="M449" s="2">
        <f t="shared" si="19"/>
        <v>7689.99</v>
      </c>
      <c r="N449" s="2">
        <f t="shared" si="20"/>
        <v>3596.67</v>
      </c>
    </row>
    <row r="450" spans="1:14">
      <c r="A450" t="s">
        <v>559</v>
      </c>
      <c r="B450" t="s">
        <v>12</v>
      </c>
      <c r="C450" t="s">
        <v>13</v>
      </c>
      <c r="D450" t="s">
        <v>24</v>
      </c>
      <c r="E450" s="2">
        <v>19.86</v>
      </c>
      <c r="F450" s="2">
        <v>27.54</v>
      </c>
      <c r="G450" s="3">
        <v>450</v>
      </c>
      <c r="H450" s="3">
        <v>248</v>
      </c>
      <c r="I450" s="3">
        <v>202</v>
      </c>
      <c r="J450" s="3">
        <v>47</v>
      </c>
      <c r="K450" t="s">
        <v>20</v>
      </c>
      <c r="L450" s="2">
        <f t="shared" si="18"/>
        <v>7.68</v>
      </c>
      <c r="M450" s="2">
        <f t="shared" si="19"/>
        <v>6829.92</v>
      </c>
      <c r="N450" s="2">
        <f t="shared" si="20"/>
        <v>1904.6399999999999</v>
      </c>
    </row>
    <row r="451" spans="1:14">
      <c r="A451" t="s">
        <v>560</v>
      </c>
      <c r="B451" t="s">
        <v>83</v>
      </c>
      <c r="C451" t="s">
        <v>47</v>
      </c>
      <c r="D451" t="s">
        <v>48</v>
      </c>
      <c r="E451" s="2">
        <v>14.47</v>
      </c>
      <c r="F451" s="2">
        <v>27.07</v>
      </c>
      <c r="G451" s="3">
        <v>397</v>
      </c>
      <c r="H451" s="3">
        <v>162</v>
      </c>
      <c r="I451" s="3">
        <v>235</v>
      </c>
      <c r="J451" s="3">
        <v>60</v>
      </c>
      <c r="K451" t="s">
        <v>20</v>
      </c>
      <c r="L451" s="2">
        <f t="shared" ref="L451:L514" si="21">F451-E451</f>
        <v>12.6</v>
      </c>
      <c r="M451" s="2">
        <f t="shared" ref="M451:M514" si="22">H451*F451</f>
        <v>4385.34</v>
      </c>
      <c r="N451" s="2">
        <f t="shared" ref="N451:N514" si="23">H451*L451</f>
        <v>2041.2</v>
      </c>
    </row>
    <row r="452" spans="1:14">
      <c r="A452" t="s">
        <v>561</v>
      </c>
      <c r="B452" t="s">
        <v>387</v>
      </c>
      <c r="C452" t="s">
        <v>88</v>
      </c>
      <c r="D452" t="s">
        <v>100</v>
      </c>
      <c r="E452" s="2">
        <v>8.52</v>
      </c>
      <c r="F452" s="2">
        <v>13.6</v>
      </c>
      <c r="G452" s="3">
        <v>390</v>
      </c>
      <c r="H452" s="3">
        <v>236</v>
      </c>
      <c r="I452" s="3">
        <v>154</v>
      </c>
      <c r="J452" s="3">
        <v>85</v>
      </c>
      <c r="K452" t="s">
        <v>20</v>
      </c>
      <c r="L452" s="2">
        <f t="shared" si="21"/>
        <v>5.08</v>
      </c>
      <c r="M452" s="2">
        <f t="shared" si="22"/>
        <v>3209.6</v>
      </c>
      <c r="N452" s="2">
        <f t="shared" si="23"/>
        <v>1198.8800000000001</v>
      </c>
    </row>
    <row r="453" spans="1:14">
      <c r="A453" t="s">
        <v>562</v>
      </c>
      <c r="B453" t="s">
        <v>17</v>
      </c>
      <c r="C453" t="s">
        <v>18</v>
      </c>
      <c r="D453" t="s">
        <v>42</v>
      </c>
      <c r="E453" s="2">
        <v>14.22</v>
      </c>
      <c r="F453" s="2">
        <v>20.98</v>
      </c>
      <c r="G453" s="3">
        <v>383</v>
      </c>
      <c r="H453" s="3">
        <v>41</v>
      </c>
      <c r="I453" s="3">
        <v>342</v>
      </c>
      <c r="J453" s="3">
        <v>66</v>
      </c>
      <c r="K453" t="s">
        <v>20</v>
      </c>
      <c r="L453" s="2">
        <f t="shared" si="21"/>
        <v>6.76</v>
      </c>
      <c r="M453" s="2">
        <f t="shared" si="22"/>
        <v>860.18000000000006</v>
      </c>
      <c r="N453" s="2">
        <f t="shared" si="23"/>
        <v>277.15999999999997</v>
      </c>
    </row>
    <row r="454" spans="1:14">
      <c r="A454" t="s">
        <v>563</v>
      </c>
      <c r="B454" t="s">
        <v>149</v>
      </c>
      <c r="C454" t="s">
        <v>47</v>
      </c>
      <c r="D454" t="s">
        <v>24</v>
      </c>
      <c r="E454" s="2">
        <v>2.84</v>
      </c>
      <c r="F454" s="2">
        <v>4.43</v>
      </c>
      <c r="G454" s="3">
        <v>350</v>
      </c>
      <c r="H454" s="3">
        <v>50</v>
      </c>
      <c r="I454" s="3">
        <v>300</v>
      </c>
      <c r="J454" s="3">
        <v>56</v>
      </c>
      <c r="K454" t="s">
        <v>20</v>
      </c>
      <c r="L454" s="2">
        <f t="shared" si="21"/>
        <v>1.5899999999999999</v>
      </c>
      <c r="M454" s="2">
        <f t="shared" si="22"/>
        <v>221.5</v>
      </c>
      <c r="N454" s="2">
        <f t="shared" si="23"/>
        <v>79.5</v>
      </c>
    </row>
    <row r="455" spans="1:14">
      <c r="A455" t="s">
        <v>564</v>
      </c>
      <c r="B455" t="s">
        <v>90</v>
      </c>
      <c r="C455" t="s">
        <v>88</v>
      </c>
      <c r="D455" t="s">
        <v>39</v>
      </c>
      <c r="E455" s="2">
        <v>29.31</v>
      </c>
      <c r="F455" s="2">
        <v>41.41</v>
      </c>
      <c r="G455" s="3">
        <v>484</v>
      </c>
      <c r="H455" s="3">
        <v>108</v>
      </c>
      <c r="I455" s="3">
        <v>376</v>
      </c>
      <c r="J455" s="3">
        <v>77</v>
      </c>
      <c r="K455" t="s">
        <v>20</v>
      </c>
      <c r="L455" s="2">
        <f t="shared" si="21"/>
        <v>12.099999999999998</v>
      </c>
      <c r="M455" s="2">
        <f t="shared" si="22"/>
        <v>4472.28</v>
      </c>
      <c r="N455" s="2">
        <f t="shared" si="23"/>
        <v>1306.7999999999997</v>
      </c>
    </row>
    <row r="456" spans="1:14">
      <c r="A456" t="s">
        <v>565</v>
      </c>
      <c r="B456" t="s">
        <v>229</v>
      </c>
      <c r="C456" t="s">
        <v>88</v>
      </c>
      <c r="D456" t="s">
        <v>100</v>
      </c>
      <c r="E456" s="2">
        <v>16.47</v>
      </c>
      <c r="F456" s="2">
        <v>27.56</v>
      </c>
      <c r="G456" s="3">
        <v>459</v>
      </c>
      <c r="H456" s="3">
        <v>358</v>
      </c>
      <c r="I456" s="3">
        <v>101</v>
      </c>
      <c r="J456" s="3">
        <v>96</v>
      </c>
      <c r="K456" t="s">
        <v>20</v>
      </c>
      <c r="L456" s="2">
        <f t="shared" si="21"/>
        <v>11.09</v>
      </c>
      <c r="M456" s="2">
        <f t="shared" si="22"/>
        <v>9866.48</v>
      </c>
      <c r="N456" s="2">
        <f t="shared" si="23"/>
        <v>3970.22</v>
      </c>
    </row>
    <row r="457" spans="1:14">
      <c r="A457" t="s">
        <v>566</v>
      </c>
      <c r="B457" t="s">
        <v>41</v>
      </c>
      <c r="C457" t="s">
        <v>23</v>
      </c>
      <c r="D457" t="s">
        <v>48</v>
      </c>
      <c r="E457" s="2">
        <v>18.86</v>
      </c>
      <c r="F457" s="2">
        <v>26.08</v>
      </c>
      <c r="G457" s="3">
        <v>169</v>
      </c>
      <c r="H457" s="3">
        <v>96</v>
      </c>
      <c r="I457" s="3">
        <v>73</v>
      </c>
      <c r="J457" s="3">
        <v>22</v>
      </c>
      <c r="K457" t="s">
        <v>20</v>
      </c>
      <c r="L457" s="2">
        <f t="shared" si="21"/>
        <v>7.2199999999999989</v>
      </c>
      <c r="M457" s="2">
        <f t="shared" si="22"/>
        <v>2503.6799999999998</v>
      </c>
      <c r="N457" s="2">
        <f t="shared" si="23"/>
        <v>693.11999999999989</v>
      </c>
    </row>
    <row r="458" spans="1:14">
      <c r="A458" t="s">
        <v>567</v>
      </c>
      <c r="B458" t="s">
        <v>222</v>
      </c>
      <c r="C458" t="s">
        <v>18</v>
      </c>
      <c r="D458" t="s">
        <v>42</v>
      </c>
      <c r="E458" s="2">
        <v>18.489999999999998</v>
      </c>
      <c r="F458" s="2">
        <v>35.29</v>
      </c>
      <c r="G458" s="3">
        <v>494</v>
      </c>
      <c r="H458" s="3">
        <v>349</v>
      </c>
      <c r="I458" s="3">
        <v>145</v>
      </c>
      <c r="J458" s="3">
        <v>107</v>
      </c>
      <c r="K458" t="s">
        <v>20</v>
      </c>
      <c r="L458" s="2">
        <f t="shared" si="21"/>
        <v>16.8</v>
      </c>
      <c r="M458" s="2">
        <f t="shared" si="22"/>
        <v>12316.21</v>
      </c>
      <c r="N458" s="2">
        <f t="shared" si="23"/>
        <v>5863.2</v>
      </c>
    </row>
    <row r="459" spans="1:14">
      <c r="A459" t="s">
        <v>568</v>
      </c>
      <c r="B459" t="s">
        <v>90</v>
      </c>
      <c r="C459" t="s">
        <v>88</v>
      </c>
      <c r="D459" t="s">
        <v>48</v>
      </c>
      <c r="E459" s="2">
        <v>46.68</v>
      </c>
      <c r="F459" s="2">
        <v>100.02</v>
      </c>
      <c r="G459" s="3">
        <v>252</v>
      </c>
      <c r="H459" s="3">
        <v>217</v>
      </c>
      <c r="I459" s="3">
        <v>35</v>
      </c>
      <c r="J459" s="3">
        <v>58</v>
      </c>
      <c r="K459" t="s">
        <v>15</v>
      </c>
      <c r="L459" s="2">
        <f t="shared" si="21"/>
        <v>53.339999999999996</v>
      </c>
      <c r="M459" s="2">
        <f t="shared" si="22"/>
        <v>21704.34</v>
      </c>
      <c r="N459" s="2">
        <f t="shared" si="23"/>
        <v>11574.779999999999</v>
      </c>
    </row>
    <row r="460" spans="1:14">
      <c r="A460" t="s">
        <v>569</v>
      </c>
      <c r="B460" t="s">
        <v>97</v>
      </c>
      <c r="C460" t="s">
        <v>53</v>
      </c>
      <c r="D460" t="s">
        <v>28</v>
      </c>
      <c r="E460" s="2">
        <v>13.57</v>
      </c>
      <c r="F460" s="2">
        <v>28.26</v>
      </c>
      <c r="G460" s="3">
        <v>391</v>
      </c>
      <c r="H460" s="3">
        <v>183</v>
      </c>
      <c r="I460" s="3">
        <v>208</v>
      </c>
      <c r="J460" s="3">
        <v>46</v>
      </c>
      <c r="K460" t="s">
        <v>20</v>
      </c>
      <c r="L460" s="2">
        <f t="shared" si="21"/>
        <v>14.690000000000001</v>
      </c>
      <c r="M460" s="2">
        <f t="shared" si="22"/>
        <v>5171.58</v>
      </c>
      <c r="N460" s="2">
        <f t="shared" si="23"/>
        <v>2688.2700000000004</v>
      </c>
    </row>
    <row r="461" spans="1:14">
      <c r="A461" t="s">
        <v>570</v>
      </c>
      <c r="B461" t="s">
        <v>106</v>
      </c>
      <c r="C461" t="s">
        <v>33</v>
      </c>
      <c r="D461" t="s">
        <v>19</v>
      </c>
      <c r="E461" s="2">
        <v>10.44</v>
      </c>
      <c r="F461" s="2">
        <v>22.88</v>
      </c>
      <c r="G461" s="3">
        <v>38</v>
      </c>
      <c r="H461" s="3">
        <v>20</v>
      </c>
      <c r="I461" s="3">
        <v>18</v>
      </c>
      <c r="J461" s="3">
        <v>8</v>
      </c>
      <c r="K461" t="s">
        <v>20</v>
      </c>
      <c r="L461" s="2">
        <f t="shared" si="21"/>
        <v>12.44</v>
      </c>
      <c r="M461" s="2">
        <f t="shared" si="22"/>
        <v>457.59999999999997</v>
      </c>
      <c r="N461" s="2">
        <f t="shared" si="23"/>
        <v>248.79999999999998</v>
      </c>
    </row>
    <row r="462" spans="1:14">
      <c r="A462" t="s">
        <v>571</v>
      </c>
      <c r="B462" t="s">
        <v>149</v>
      </c>
      <c r="C462" t="s">
        <v>47</v>
      </c>
      <c r="D462" t="s">
        <v>100</v>
      </c>
      <c r="E462" s="2">
        <v>13.76</v>
      </c>
      <c r="F462" s="2">
        <v>29.51</v>
      </c>
      <c r="G462" s="3">
        <v>273</v>
      </c>
      <c r="H462" s="3">
        <v>74</v>
      </c>
      <c r="I462" s="3">
        <v>199</v>
      </c>
      <c r="J462" s="3">
        <v>48</v>
      </c>
      <c r="K462" t="s">
        <v>20</v>
      </c>
      <c r="L462" s="2">
        <f t="shared" si="21"/>
        <v>15.750000000000002</v>
      </c>
      <c r="M462" s="2">
        <f t="shared" si="22"/>
        <v>2183.7400000000002</v>
      </c>
      <c r="N462" s="2">
        <f t="shared" si="23"/>
        <v>1165.5000000000002</v>
      </c>
    </row>
    <row r="463" spans="1:14">
      <c r="A463" t="s">
        <v>572</v>
      </c>
      <c r="B463" t="s">
        <v>32</v>
      </c>
      <c r="C463" t="s">
        <v>33</v>
      </c>
      <c r="D463" t="s">
        <v>54</v>
      </c>
      <c r="E463" s="2">
        <v>7.73</v>
      </c>
      <c r="F463" s="2">
        <v>12.75</v>
      </c>
      <c r="G463" s="3">
        <v>236</v>
      </c>
      <c r="H463" s="3">
        <v>71</v>
      </c>
      <c r="I463" s="3">
        <v>165</v>
      </c>
      <c r="J463" s="3">
        <v>29</v>
      </c>
      <c r="K463" t="s">
        <v>20</v>
      </c>
      <c r="L463" s="2">
        <f t="shared" si="21"/>
        <v>5.0199999999999996</v>
      </c>
      <c r="M463" s="2">
        <f t="shared" si="22"/>
        <v>905.25</v>
      </c>
      <c r="N463" s="2">
        <f t="shared" si="23"/>
        <v>356.41999999999996</v>
      </c>
    </row>
    <row r="464" spans="1:14">
      <c r="A464" t="s">
        <v>573</v>
      </c>
      <c r="B464" t="s">
        <v>167</v>
      </c>
      <c r="C464" t="s">
        <v>88</v>
      </c>
      <c r="D464" t="s">
        <v>24</v>
      </c>
      <c r="E464" s="2">
        <v>44.74</v>
      </c>
      <c r="F464" s="2">
        <v>69.59</v>
      </c>
      <c r="G464" s="3">
        <v>480</v>
      </c>
      <c r="H464" s="3">
        <v>315</v>
      </c>
      <c r="I464" s="3">
        <v>165</v>
      </c>
      <c r="J464" s="3">
        <v>83</v>
      </c>
      <c r="K464" t="s">
        <v>20</v>
      </c>
      <c r="L464" s="2">
        <f t="shared" si="21"/>
        <v>24.85</v>
      </c>
      <c r="M464" s="2">
        <f t="shared" si="22"/>
        <v>21920.850000000002</v>
      </c>
      <c r="N464" s="2">
        <f t="shared" si="23"/>
        <v>7827.75</v>
      </c>
    </row>
    <row r="465" spans="1:14">
      <c r="A465" t="s">
        <v>574</v>
      </c>
      <c r="B465" t="s">
        <v>156</v>
      </c>
      <c r="C465" t="s">
        <v>47</v>
      </c>
      <c r="D465" t="s">
        <v>19</v>
      </c>
      <c r="E465" s="2">
        <v>5.3</v>
      </c>
      <c r="F465" s="2">
        <v>8.69</v>
      </c>
      <c r="G465" s="3">
        <v>106</v>
      </c>
      <c r="H465" s="3">
        <v>30</v>
      </c>
      <c r="I465" s="3">
        <v>76</v>
      </c>
      <c r="J465" s="3">
        <v>25</v>
      </c>
      <c r="K465" t="s">
        <v>20</v>
      </c>
      <c r="L465" s="2">
        <f t="shared" si="21"/>
        <v>3.3899999999999997</v>
      </c>
      <c r="M465" s="2">
        <f t="shared" si="22"/>
        <v>260.7</v>
      </c>
      <c r="N465" s="2">
        <f t="shared" si="23"/>
        <v>101.69999999999999</v>
      </c>
    </row>
    <row r="466" spans="1:14">
      <c r="A466" t="s">
        <v>575</v>
      </c>
      <c r="B466" t="s">
        <v>207</v>
      </c>
      <c r="C466" t="s">
        <v>88</v>
      </c>
      <c r="D466" t="s">
        <v>54</v>
      </c>
      <c r="E466" s="2">
        <v>63.35</v>
      </c>
      <c r="F466" s="2">
        <v>86.82</v>
      </c>
      <c r="G466" s="3">
        <v>164</v>
      </c>
      <c r="H466" s="3">
        <v>107</v>
      </c>
      <c r="I466" s="3">
        <v>57</v>
      </c>
      <c r="J466" s="3">
        <v>37</v>
      </c>
      <c r="K466" t="s">
        <v>20</v>
      </c>
      <c r="L466" s="2">
        <f t="shared" si="21"/>
        <v>23.469999999999992</v>
      </c>
      <c r="M466" s="2">
        <f t="shared" si="22"/>
        <v>9289.74</v>
      </c>
      <c r="N466" s="2">
        <f t="shared" si="23"/>
        <v>2511.2899999999991</v>
      </c>
    </row>
    <row r="467" spans="1:14">
      <c r="A467" t="s">
        <v>576</v>
      </c>
      <c r="B467" t="s">
        <v>62</v>
      </c>
      <c r="C467" t="s">
        <v>13</v>
      </c>
      <c r="D467" t="s">
        <v>54</v>
      </c>
      <c r="E467" s="2">
        <v>18.489999999999998</v>
      </c>
      <c r="F467" s="2">
        <v>34.520000000000003</v>
      </c>
      <c r="G467" s="3">
        <v>374</v>
      </c>
      <c r="H467" s="3">
        <v>267</v>
      </c>
      <c r="I467" s="3">
        <v>107</v>
      </c>
      <c r="J467" s="3">
        <v>40</v>
      </c>
      <c r="K467" t="s">
        <v>20</v>
      </c>
      <c r="L467" s="2">
        <f t="shared" si="21"/>
        <v>16.030000000000005</v>
      </c>
      <c r="M467" s="2">
        <f t="shared" si="22"/>
        <v>9216.84</v>
      </c>
      <c r="N467" s="2">
        <f t="shared" si="23"/>
        <v>4280.0100000000011</v>
      </c>
    </row>
    <row r="468" spans="1:14">
      <c r="A468" t="s">
        <v>577</v>
      </c>
      <c r="B468" t="s">
        <v>216</v>
      </c>
      <c r="C468" t="s">
        <v>23</v>
      </c>
      <c r="D468" t="s">
        <v>39</v>
      </c>
      <c r="E468" s="2">
        <v>15.05</v>
      </c>
      <c r="F468" s="2">
        <v>27.38</v>
      </c>
      <c r="G468" s="3">
        <v>190</v>
      </c>
      <c r="H468" s="3">
        <v>32</v>
      </c>
      <c r="I468" s="3">
        <v>158</v>
      </c>
      <c r="J468" s="3">
        <v>27</v>
      </c>
      <c r="K468" t="s">
        <v>20</v>
      </c>
      <c r="L468" s="2">
        <f t="shared" si="21"/>
        <v>12.329999999999998</v>
      </c>
      <c r="M468" s="2">
        <f t="shared" si="22"/>
        <v>876.16</v>
      </c>
      <c r="N468" s="2">
        <f t="shared" si="23"/>
        <v>394.55999999999995</v>
      </c>
    </row>
    <row r="469" spans="1:14">
      <c r="A469" t="s">
        <v>578</v>
      </c>
      <c r="B469" t="s">
        <v>126</v>
      </c>
      <c r="C469" t="s">
        <v>23</v>
      </c>
      <c r="D469" t="s">
        <v>48</v>
      </c>
      <c r="E469" s="2">
        <v>15.26</v>
      </c>
      <c r="F469" s="2">
        <v>27.56</v>
      </c>
      <c r="G469" s="3">
        <v>377</v>
      </c>
      <c r="H469" s="3">
        <v>344</v>
      </c>
      <c r="I469" s="3">
        <v>33</v>
      </c>
      <c r="J469" s="3">
        <v>39</v>
      </c>
      <c r="K469" t="s">
        <v>15</v>
      </c>
      <c r="L469" s="2">
        <f t="shared" si="21"/>
        <v>12.299999999999999</v>
      </c>
      <c r="M469" s="2">
        <f t="shared" si="22"/>
        <v>9480.64</v>
      </c>
      <c r="N469" s="2">
        <f t="shared" si="23"/>
        <v>4231.2</v>
      </c>
    </row>
    <row r="470" spans="1:14">
      <c r="A470" t="s">
        <v>579</v>
      </c>
      <c r="B470" t="s">
        <v>60</v>
      </c>
      <c r="C470" t="s">
        <v>47</v>
      </c>
      <c r="D470" t="s">
        <v>14</v>
      </c>
      <c r="E470" s="2">
        <v>12.22</v>
      </c>
      <c r="F470" s="2">
        <v>20.61</v>
      </c>
      <c r="G470" s="3">
        <v>294</v>
      </c>
      <c r="H470" s="3">
        <v>194</v>
      </c>
      <c r="I470" s="3">
        <v>100</v>
      </c>
      <c r="J470" s="3">
        <v>69</v>
      </c>
      <c r="K470" t="s">
        <v>20</v>
      </c>
      <c r="L470" s="2">
        <f t="shared" si="21"/>
        <v>8.3899999999999988</v>
      </c>
      <c r="M470" s="2">
        <f t="shared" si="22"/>
        <v>3998.3399999999997</v>
      </c>
      <c r="N470" s="2">
        <f t="shared" si="23"/>
        <v>1627.6599999999999</v>
      </c>
    </row>
    <row r="471" spans="1:14">
      <c r="A471" t="s">
        <v>580</v>
      </c>
      <c r="B471" t="s">
        <v>227</v>
      </c>
      <c r="C471" t="s">
        <v>27</v>
      </c>
      <c r="D471" t="s">
        <v>14</v>
      </c>
      <c r="E471" s="2">
        <v>19.260000000000002</v>
      </c>
      <c r="F471" s="2">
        <v>36.1</v>
      </c>
      <c r="G471" s="3">
        <v>494</v>
      </c>
      <c r="H471" s="3">
        <v>416</v>
      </c>
      <c r="I471" s="3">
        <v>78</v>
      </c>
      <c r="J471" s="3">
        <v>99</v>
      </c>
      <c r="K471" t="s">
        <v>15</v>
      </c>
      <c r="L471" s="2">
        <f t="shared" si="21"/>
        <v>16.84</v>
      </c>
      <c r="M471" s="2">
        <f t="shared" si="22"/>
        <v>15017.6</v>
      </c>
      <c r="N471" s="2">
        <f t="shared" si="23"/>
        <v>7005.44</v>
      </c>
    </row>
    <row r="472" spans="1:14">
      <c r="A472" t="s">
        <v>581</v>
      </c>
      <c r="B472" t="s">
        <v>106</v>
      </c>
      <c r="C472" t="s">
        <v>33</v>
      </c>
      <c r="D472" t="s">
        <v>14</v>
      </c>
      <c r="E472" s="2">
        <v>9.69</v>
      </c>
      <c r="F472" s="2">
        <v>21.27</v>
      </c>
      <c r="G472" s="3">
        <v>69</v>
      </c>
      <c r="H472" s="3">
        <v>52</v>
      </c>
      <c r="I472" s="3">
        <v>17</v>
      </c>
      <c r="J472" s="3">
        <v>15</v>
      </c>
      <c r="K472" t="s">
        <v>20</v>
      </c>
      <c r="L472" s="2">
        <f t="shared" si="21"/>
        <v>11.58</v>
      </c>
      <c r="M472" s="2">
        <f t="shared" si="22"/>
        <v>1106.04</v>
      </c>
      <c r="N472" s="2">
        <f t="shared" si="23"/>
        <v>602.16</v>
      </c>
    </row>
    <row r="473" spans="1:14">
      <c r="A473" t="s">
        <v>582</v>
      </c>
      <c r="B473" t="s">
        <v>64</v>
      </c>
      <c r="C473" t="s">
        <v>18</v>
      </c>
      <c r="D473" t="s">
        <v>42</v>
      </c>
      <c r="E473" s="2">
        <v>5.2</v>
      </c>
      <c r="F473" s="2">
        <v>9.98</v>
      </c>
      <c r="G473" s="3">
        <v>261</v>
      </c>
      <c r="H473" s="3">
        <v>243</v>
      </c>
      <c r="I473" s="3">
        <v>18</v>
      </c>
      <c r="J473" s="3">
        <v>48</v>
      </c>
      <c r="K473" t="s">
        <v>15</v>
      </c>
      <c r="L473" s="2">
        <f t="shared" si="21"/>
        <v>4.78</v>
      </c>
      <c r="M473" s="2">
        <f t="shared" si="22"/>
        <v>2425.1400000000003</v>
      </c>
      <c r="N473" s="2">
        <f t="shared" si="23"/>
        <v>1161.54</v>
      </c>
    </row>
    <row r="474" spans="1:14">
      <c r="A474" t="s">
        <v>583</v>
      </c>
      <c r="B474" t="s">
        <v>190</v>
      </c>
      <c r="C474" t="s">
        <v>18</v>
      </c>
      <c r="D474" t="s">
        <v>77</v>
      </c>
      <c r="E474" s="2">
        <v>18.260000000000002</v>
      </c>
      <c r="F474" s="2">
        <v>34.450000000000003</v>
      </c>
      <c r="G474" s="3">
        <v>436</v>
      </c>
      <c r="H474" s="3">
        <v>144</v>
      </c>
      <c r="I474" s="3">
        <v>292</v>
      </c>
      <c r="J474" s="3">
        <v>88</v>
      </c>
      <c r="K474" t="s">
        <v>20</v>
      </c>
      <c r="L474" s="2">
        <f t="shared" si="21"/>
        <v>16.190000000000001</v>
      </c>
      <c r="M474" s="2">
        <f t="shared" si="22"/>
        <v>4960.8</v>
      </c>
      <c r="N474" s="2">
        <f t="shared" si="23"/>
        <v>2331.36</v>
      </c>
    </row>
    <row r="475" spans="1:14">
      <c r="A475" t="s">
        <v>584</v>
      </c>
      <c r="B475" t="s">
        <v>83</v>
      </c>
      <c r="C475" t="s">
        <v>47</v>
      </c>
      <c r="D475" t="s">
        <v>48</v>
      </c>
      <c r="E475" s="2">
        <v>7.61</v>
      </c>
      <c r="F475" s="2">
        <v>11.4</v>
      </c>
      <c r="G475" s="3">
        <v>312</v>
      </c>
      <c r="H475" s="3">
        <v>74</v>
      </c>
      <c r="I475" s="3">
        <v>238</v>
      </c>
      <c r="J475" s="3">
        <v>59</v>
      </c>
      <c r="K475" t="s">
        <v>20</v>
      </c>
      <c r="L475" s="2">
        <f t="shared" si="21"/>
        <v>3.79</v>
      </c>
      <c r="M475" s="2">
        <f t="shared" si="22"/>
        <v>843.6</v>
      </c>
      <c r="N475" s="2">
        <f t="shared" si="23"/>
        <v>280.45999999999998</v>
      </c>
    </row>
    <row r="476" spans="1:14">
      <c r="A476" t="s">
        <v>585</v>
      </c>
      <c r="B476" t="s">
        <v>248</v>
      </c>
      <c r="C476" t="s">
        <v>27</v>
      </c>
      <c r="D476" t="s">
        <v>14</v>
      </c>
      <c r="E476" s="2">
        <v>5.35</v>
      </c>
      <c r="F476" s="2">
        <v>7.5</v>
      </c>
      <c r="G476" s="3">
        <v>314</v>
      </c>
      <c r="H476" s="3">
        <v>102</v>
      </c>
      <c r="I476" s="3">
        <v>212</v>
      </c>
      <c r="J476" s="3">
        <v>45</v>
      </c>
      <c r="K476" t="s">
        <v>20</v>
      </c>
      <c r="L476" s="2">
        <f t="shared" si="21"/>
        <v>2.1500000000000004</v>
      </c>
      <c r="M476" s="2">
        <f t="shared" si="22"/>
        <v>765</v>
      </c>
      <c r="N476" s="2">
        <f t="shared" si="23"/>
        <v>219.30000000000004</v>
      </c>
    </row>
    <row r="477" spans="1:14">
      <c r="A477" t="s">
        <v>586</v>
      </c>
      <c r="B477" t="s">
        <v>110</v>
      </c>
      <c r="C477" t="s">
        <v>27</v>
      </c>
      <c r="D477" t="s">
        <v>24</v>
      </c>
      <c r="E477" s="2">
        <v>23.3</v>
      </c>
      <c r="F477" s="2">
        <v>45.52</v>
      </c>
      <c r="G477" s="3">
        <v>498</v>
      </c>
      <c r="H477" s="3">
        <v>254</v>
      </c>
      <c r="I477" s="3">
        <v>244</v>
      </c>
      <c r="J477" s="3">
        <v>93</v>
      </c>
      <c r="K477" t="s">
        <v>20</v>
      </c>
      <c r="L477" s="2">
        <f t="shared" si="21"/>
        <v>22.220000000000002</v>
      </c>
      <c r="M477" s="2">
        <f t="shared" si="22"/>
        <v>11562.08</v>
      </c>
      <c r="N477" s="2">
        <f t="shared" si="23"/>
        <v>5643.880000000001</v>
      </c>
    </row>
    <row r="478" spans="1:14">
      <c r="A478" t="s">
        <v>587</v>
      </c>
      <c r="B478" t="s">
        <v>119</v>
      </c>
      <c r="C478" t="s">
        <v>33</v>
      </c>
      <c r="D478" t="s">
        <v>77</v>
      </c>
      <c r="E478" s="2">
        <v>8.1199999999999992</v>
      </c>
      <c r="F478" s="2">
        <v>15.92</v>
      </c>
      <c r="G478" s="3">
        <v>490</v>
      </c>
      <c r="H478" s="3">
        <v>456</v>
      </c>
      <c r="I478" s="3">
        <v>34</v>
      </c>
      <c r="J478" s="3">
        <v>56</v>
      </c>
      <c r="K478" t="s">
        <v>15</v>
      </c>
      <c r="L478" s="2">
        <f t="shared" si="21"/>
        <v>7.8000000000000007</v>
      </c>
      <c r="M478" s="2">
        <f t="shared" si="22"/>
        <v>7259.5199999999995</v>
      </c>
      <c r="N478" s="2">
        <f t="shared" si="23"/>
        <v>3556.8</v>
      </c>
    </row>
    <row r="479" spans="1:14">
      <c r="A479" t="s">
        <v>588</v>
      </c>
      <c r="B479" t="s">
        <v>202</v>
      </c>
      <c r="C479" t="s">
        <v>13</v>
      </c>
      <c r="D479" t="s">
        <v>77</v>
      </c>
      <c r="E479" s="2">
        <v>11.61</v>
      </c>
      <c r="F479" s="2">
        <v>15.16</v>
      </c>
      <c r="G479" s="3">
        <v>391</v>
      </c>
      <c r="H479" s="3">
        <v>41</v>
      </c>
      <c r="I479" s="3">
        <v>350</v>
      </c>
      <c r="J479" s="3">
        <v>84</v>
      </c>
      <c r="K479" t="s">
        <v>20</v>
      </c>
      <c r="L479" s="2">
        <f t="shared" si="21"/>
        <v>3.5500000000000007</v>
      </c>
      <c r="M479" s="2">
        <f t="shared" si="22"/>
        <v>621.56000000000006</v>
      </c>
      <c r="N479" s="2">
        <f t="shared" si="23"/>
        <v>145.55000000000004</v>
      </c>
    </row>
    <row r="480" spans="1:14">
      <c r="A480" t="s">
        <v>589</v>
      </c>
      <c r="B480" t="s">
        <v>251</v>
      </c>
      <c r="C480" t="s">
        <v>13</v>
      </c>
      <c r="D480" t="s">
        <v>77</v>
      </c>
      <c r="E480" s="2">
        <v>10</v>
      </c>
      <c r="F480" s="2">
        <v>20.5</v>
      </c>
      <c r="G480" s="3">
        <v>289</v>
      </c>
      <c r="H480" s="3">
        <v>157</v>
      </c>
      <c r="I480" s="3">
        <v>132</v>
      </c>
      <c r="J480" s="3">
        <v>64</v>
      </c>
      <c r="K480" t="s">
        <v>20</v>
      </c>
      <c r="L480" s="2">
        <f t="shared" si="21"/>
        <v>10.5</v>
      </c>
      <c r="M480" s="2">
        <f t="shared" si="22"/>
        <v>3218.5</v>
      </c>
      <c r="N480" s="2">
        <f t="shared" si="23"/>
        <v>1648.5</v>
      </c>
    </row>
    <row r="481" spans="1:14">
      <c r="A481" t="s">
        <v>590</v>
      </c>
      <c r="B481" t="s">
        <v>246</v>
      </c>
      <c r="C481" t="s">
        <v>33</v>
      </c>
      <c r="D481" t="s">
        <v>28</v>
      </c>
      <c r="E481" s="2">
        <v>7.2</v>
      </c>
      <c r="F481" s="2">
        <v>12.42</v>
      </c>
      <c r="G481" s="3">
        <v>275</v>
      </c>
      <c r="H481" s="3">
        <v>170</v>
      </c>
      <c r="I481" s="3">
        <v>105</v>
      </c>
      <c r="J481" s="3">
        <v>46</v>
      </c>
      <c r="K481" t="s">
        <v>20</v>
      </c>
      <c r="L481" s="2">
        <f t="shared" si="21"/>
        <v>5.22</v>
      </c>
      <c r="M481" s="2">
        <f t="shared" si="22"/>
        <v>2111.4</v>
      </c>
      <c r="N481" s="2">
        <f t="shared" si="23"/>
        <v>887.4</v>
      </c>
    </row>
    <row r="482" spans="1:14">
      <c r="A482" t="s">
        <v>591</v>
      </c>
      <c r="B482" t="s">
        <v>83</v>
      </c>
      <c r="C482" t="s">
        <v>47</v>
      </c>
      <c r="D482" t="s">
        <v>19</v>
      </c>
      <c r="E482" s="2">
        <v>3.77</v>
      </c>
      <c r="F482" s="2">
        <v>8.2799999999999994</v>
      </c>
      <c r="G482" s="3">
        <v>484</v>
      </c>
      <c r="H482" s="3">
        <v>351</v>
      </c>
      <c r="I482" s="3">
        <v>133</v>
      </c>
      <c r="J482" s="3">
        <v>118</v>
      </c>
      <c r="K482" t="s">
        <v>20</v>
      </c>
      <c r="L482" s="2">
        <f t="shared" si="21"/>
        <v>4.51</v>
      </c>
      <c r="M482" s="2">
        <f t="shared" si="22"/>
        <v>2906.2799999999997</v>
      </c>
      <c r="N482" s="2">
        <f t="shared" si="23"/>
        <v>1583.01</v>
      </c>
    </row>
    <row r="483" spans="1:14">
      <c r="A483" t="s">
        <v>592</v>
      </c>
      <c r="B483" t="s">
        <v>387</v>
      </c>
      <c r="C483" t="s">
        <v>88</v>
      </c>
      <c r="D483" t="s">
        <v>100</v>
      </c>
      <c r="E483" s="2">
        <v>78.73</v>
      </c>
      <c r="F483" s="2">
        <v>134.97</v>
      </c>
      <c r="G483" s="3">
        <v>219</v>
      </c>
      <c r="H483" s="3">
        <v>169</v>
      </c>
      <c r="I483" s="3">
        <v>50</v>
      </c>
      <c r="J483" s="3">
        <v>38</v>
      </c>
      <c r="K483" t="s">
        <v>20</v>
      </c>
      <c r="L483" s="2">
        <f t="shared" si="21"/>
        <v>56.239999999999995</v>
      </c>
      <c r="M483" s="2">
        <f t="shared" si="22"/>
        <v>22809.93</v>
      </c>
      <c r="N483" s="2">
        <f t="shared" si="23"/>
        <v>9504.56</v>
      </c>
    </row>
    <row r="484" spans="1:14">
      <c r="A484" t="s">
        <v>593</v>
      </c>
      <c r="B484" t="s">
        <v>87</v>
      </c>
      <c r="C484" t="s">
        <v>88</v>
      </c>
      <c r="D484" t="s">
        <v>39</v>
      </c>
      <c r="E484" s="2">
        <v>40.15</v>
      </c>
      <c r="F484" s="2">
        <v>66.22</v>
      </c>
      <c r="G484" s="3">
        <v>447</v>
      </c>
      <c r="H484" s="3">
        <v>415</v>
      </c>
      <c r="I484" s="3">
        <v>32</v>
      </c>
      <c r="J484" s="3">
        <v>72</v>
      </c>
      <c r="K484" t="s">
        <v>15</v>
      </c>
      <c r="L484" s="2">
        <f t="shared" si="21"/>
        <v>26.07</v>
      </c>
      <c r="M484" s="2">
        <f t="shared" si="22"/>
        <v>27481.3</v>
      </c>
      <c r="N484" s="2">
        <f t="shared" si="23"/>
        <v>10819.05</v>
      </c>
    </row>
    <row r="485" spans="1:14">
      <c r="A485" t="s">
        <v>594</v>
      </c>
      <c r="B485" t="s">
        <v>110</v>
      </c>
      <c r="C485" t="s">
        <v>27</v>
      </c>
      <c r="D485" t="s">
        <v>28</v>
      </c>
      <c r="E485" s="2">
        <v>4.9800000000000004</v>
      </c>
      <c r="F485" s="2">
        <v>8.94</v>
      </c>
      <c r="G485" s="3">
        <v>104</v>
      </c>
      <c r="H485" s="3">
        <v>52</v>
      </c>
      <c r="I485" s="3">
        <v>52</v>
      </c>
      <c r="J485" s="3">
        <v>25</v>
      </c>
      <c r="K485" t="s">
        <v>20</v>
      </c>
      <c r="L485" s="2">
        <f t="shared" si="21"/>
        <v>3.9599999999999991</v>
      </c>
      <c r="M485" s="2">
        <f t="shared" si="22"/>
        <v>464.88</v>
      </c>
      <c r="N485" s="2">
        <f t="shared" si="23"/>
        <v>205.91999999999996</v>
      </c>
    </row>
    <row r="486" spans="1:14">
      <c r="A486" t="s">
        <v>595</v>
      </c>
      <c r="B486" t="s">
        <v>237</v>
      </c>
      <c r="C486" t="s">
        <v>47</v>
      </c>
      <c r="D486" t="s">
        <v>19</v>
      </c>
      <c r="E486" s="2">
        <v>7.57</v>
      </c>
      <c r="F486" s="2">
        <v>10.37</v>
      </c>
      <c r="G486" s="3">
        <v>95</v>
      </c>
      <c r="H486" s="3">
        <v>85</v>
      </c>
      <c r="I486" s="3">
        <v>10</v>
      </c>
      <c r="J486" s="3">
        <v>23</v>
      </c>
      <c r="K486" t="s">
        <v>15</v>
      </c>
      <c r="L486" s="2">
        <f t="shared" si="21"/>
        <v>2.7999999999999989</v>
      </c>
      <c r="M486" s="2">
        <f t="shared" si="22"/>
        <v>881.44999999999993</v>
      </c>
      <c r="N486" s="2">
        <f t="shared" si="23"/>
        <v>237.99999999999991</v>
      </c>
    </row>
    <row r="487" spans="1:14">
      <c r="A487" t="s">
        <v>596</v>
      </c>
      <c r="B487" t="s">
        <v>99</v>
      </c>
      <c r="C487" t="s">
        <v>33</v>
      </c>
      <c r="D487" t="s">
        <v>24</v>
      </c>
      <c r="E487" s="2">
        <v>3.5</v>
      </c>
      <c r="F487" s="2">
        <v>7.3</v>
      </c>
      <c r="G487" s="3">
        <v>134</v>
      </c>
      <c r="H487" s="3">
        <v>108</v>
      </c>
      <c r="I487" s="3">
        <v>26</v>
      </c>
      <c r="J487" s="3">
        <v>24</v>
      </c>
      <c r="K487" t="s">
        <v>20</v>
      </c>
      <c r="L487" s="2">
        <f t="shared" si="21"/>
        <v>3.8</v>
      </c>
      <c r="M487" s="2">
        <f t="shared" si="22"/>
        <v>788.4</v>
      </c>
      <c r="N487" s="2">
        <f t="shared" si="23"/>
        <v>410.4</v>
      </c>
    </row>
    <row r="488" spans="1:14">
      <c r="A488" t="s">
        <v>597</v>
      </c>
      <c r="B488" t="s">
        <v>207</v>
      </c>
      <c r="C488" t="s">
        <v>88</v>
      </c>
      <c r="D488" t="s">
        <v>19</v>
      </c>
      <c r="E488" s="2">
        <v>52.95</v>
      </c>
      <c r="F488" s="2">
        <v>84.84</v>
      </c>
      <c r="G488" s="3">
        <v>407</v>
      </c>
      <c r="H488" s="3">
        <v>214</v>
      </c>
      <c r="I488" s="3">
        <v>193</v>
      </c>
      <c r="J488" s="3">
        <v>97</v>
      </c>
      <c r="K488" t="s">
        <v>20</v>
      </c>
      <c r="L488" s="2">
        <f t="shared" si="21"/>
        <v>31.89</v>
      </c>
      <c r="M488" s="2">
        <f t="shared" si="22"/>
        <v>18155.760000000002</v>
      </c>
      <c r="N488" s="2">
        <f t="shared" si="23"/>
        <v>6824.46</v>
      </c>
    </row>
    <row r="489" spans="1:14">
      <c r="A489" t="s">
        <v>598</v>
      </c>
      <c r="B489" t="s">
        <v>12</v>
      </c>
      <c r="C489" t="s">
        <v>13</v>
      </c>
      <c r="D489" t="s">
        <v>28</v>
      </c>
      <c r="E489" s="2">
        <v>23.25</v>
      </c>
      <c r="F489" s="2">
        <v>38.950000000000003</v>
      </c>
      <c r="G489" s="3">
        <v>387</v>
      </c>
      <c r="H489" s="3">
        <v>79</v>
      </c>
      <c r="I489" s="3">
        <v>308</v>
      </c>
      <c r="J489" s="3">
        <v>55</v>
      </c>
      <c r="K489" t="s">
        <v>20</v>
      </c>
      <c r="L489" s="2">
        <f t="shared" si="21"/>
        <v>15.700000000000003</v>
      </c>
      <c r="M489" s="2">
        <f t="shared" si="22"/>
        <v>3077.05</v>
      </c>
      <c r="N489" s="2">
        <f t="shared" si="23"/>
        <v>1240.3000000000002</v>
      </c>
    </row>
    <row r="490" spans="1:14">
      <c r="A490" t="s">
        <v>599</v>
      </c>
      <c r="B490" t="s">
        <v>104</v>
      </c>
      <c r="C490" t="s">
        <v>33</v>
      </c>
      <c r="D490" t="s">
        <v>48</v>
      </c>
      <c r="E490" s="2">
        <v>11.07</v>
      </c>
      <c r="F490" s="2">
        <v>23.92</v>
      </c>
      <c r="G490" s="3">
        <v>86</v>
      </c>
      <c r="H490" s="3">
        <v>42</v>
      </c>
      <c r="I490" s="3">
        <v>44</v>
      </c>
      <c r="J490" s="3">
        <v>17</v>
      </c>
      <c r="K490" t="s">
        <v>20</v>
      </c>
      <c r="L490" s="2">
        <f t="shared" si="21"/>
        <v>12.850000000000001</v>
      </c>
      <c r="M490" s="2">
        <f t="shared" si="22"/>
        <v>1004.6400000000001</v>
      </c>
      <c r="N490" s="2">
        <f t="shared" si="23"/>
        <v>539.70000000000005</v>
      </c>
    </row>
    <row r="491" spans="1:14">
      <c r="A491" t="s">
        <v>600</v>
      </c>
      <c r="B491" t="s">
        <v>124</v>
      </c>
      <c r="C491" t="s">
        <v>88</v>
      </c>
      <c r="D491" t="s">
        <v>19</v>
      </c>
      <c r="E491" s="2">
        <v>5.33</v>
      </c>
      <c r="F491" s="2">
        <v>8.64</v>
      </c>
      <c r="G491" s="3">
        <v>363</v>
      </c>
      <c r="H491" s="3">
        <v>170</v>
      </c>
      <c r="I491" s="3">
        <v>193</v>
      </c>
      <c r="J491" s="3">
        <v>37</v>
      </c>
      <c r="K491" t="s">
        <v>20</v>
      </c>
      <c r="L491" s="2">
        <f t="shared" si="21"/>
        <v>3.3100000000000005</v>
      </c>
      <c r="M491" s="2">
        <f t="shared" si="22"/>
        <v>1468.8000000000002</v>
      </c>
      <c r="N491" s="2">
        <f t="shared" si="23"/>
        <v>562.70000000000005</v>
      </c>
    </row>
    <row r="492" spans="1:14">
      <c r="A492" t="s">
        <v>601</v>
      </c>
      <c r="B492" t="s">
        <v>251</v>
      </c>
      <c r="C492" t="s">
        <v>13</v>
      </c>
      <c r="D492" t="s">
        <v>19</v>
      </c>
      <c r="E492" s="2">
        <v>11.48</v>
      </c>
      <c r="F492" s="2">
        <v>20.76</v>
      </c>
      <c r="G492" s="3">
        <v>396</v>
      </c>
      <c r="H492" s="3">
        <v>186</v>
      </c>
      <c r="I492" s="3">
        <v>210</v>
      </c>
      <c r="J492" s="3">
        <v>48</v>
      </c>
      <c r="K492" t="s">
        <v>20</v>
      </c>
      <c r="L492" s="2">
        <f t="shared" si="21"/>
        <v>9.2800000000000011</v>
      </c>
      <c r="M492" s="2">
        <f t="shared" si="22"/>
        <v>3861.36</v>
      </c>
      <c r="N492" s="2">
        <f t="shared" si="23"/>
        <v>1726.0800000000002</v>
      </c>
    </row>
    <row r="493" spans="1:14">
      <c r="A493" t="s">
        <v>602</v>
      </c>
      <c r="B493" t="s">
        <v>74</v>
      </c>
      <c r="C493" t="s">
        <v>23</v>
      </c>
      <c r="D493" t="s">
        <v>100</v>
      </c>
      <c r="E493" s="2">
        <v>18.489999999999998</v>
      </c>
      <c r="F493" s="2">
        <v>29.9</v>
      </c>
      <c r="G493" s="3">
        <v>454</v>
      </c>
      <c r="H493" s="3">
        <v>264</v>
      </c>
      <c r="I493" s="3">
        <v>190</v>
      </c>
      <c r="J493" s="3">
        <v>112</v>
      </c>
      <c r="K493" t="s">
        <v>20</v>
      </c>
      <c r="L493" s="2">
        <f t="shared" si="21"/>
        <v>11.41</v>
      </c>
      <c r="M493" s="2">
        <f t="shared" si="22"/>
        <v>7893.5999999999995</v>
      </c>
      <c r="N493" s="2">
        <f t="shared" si="23"/>
        <v>3012.2400000000002</v>
      </c>
    </row>
    <row r="494" spans="1:14">
      <c r="A494" t="s">
        <v>603</v>
      </c>
      <c r="B494" t="s">
        <v>183</v>
      </c>
      <c r="C494" t="s">
        <v>53</v>
      </c>
      <c r="D494" t="s">
        <v>48</v>
      </c>
      <c r="E494" s="2">
        <v>23.67</v>
      </c>
      <c r="F494" s="2">
        <v>50.63</v>
      </c>
      <c r="G494" s="3">
        <v>387</v>
      </c>
      <c r="H494" s="3">
        <v>238</v>
      </c>
      <c r="I494" s="3">
        <v>149</v>
      </c>
      <c r="J494" s="3">
        <v>69</v>
      </c>
      <c r="K494" t="s">
        <v>20</v>
      </c>
      <c r="L494" s="2">
        <f t="shared" si="21"/>
        <v>26.96</v>
      </c>
      <c r="M494" s="2">
        <f t="shared" si="22"/>
        <v>12049.94</v>
      </c>
      <c r="N494" s="2">
        <f t="shared" si="23"/>
        <v>6416.4800000000005</v>
      </c>
    </row>
    <row r="495" spans="1:14">
      <c r="A495" t="s">
        <v>604</v>
      </c>
      <c r="B495" t="s">
        <v>97</v>
      </c>
      <c r="C495" t="s">
        <v>53</v>
      </c>
      <c r="D495" t="s">
        <v>42</v>
      </c>
      <c r="E495" s="2">
        <v>19.18</v>
      </c>
      <c r="F495" s="2">
        <v>39.85</v>
      </c>
      <c r="G495" s="3">
        <v>57</v>
      </c>
      <c r="H495" s="3">
        <v>45</v>
      </c>
      <c r="I495" s="3">
        <v>12</v>
      </c>
      <c r="J495" s="3">
        <v>9</v>
      </c>
      <c r="K495" t="s">
        <v>20</v>
      </c>
      <c r="L495" s="2">
        <f t="shared" si="21"/>
        <v>20.67</v>
      </c>
      <c r="M495" s="2">
        <f t="shared" si="22"/>
        <v>1793.25</v>
      </c>
      <c r="N495" s="2">
        <f t="shared" si="23"/>
        <v>930.15000000000009</v>
      </c>
    </row>
    <row r="496" spans="1:14">
      <c r="A496" t="s">
        <v>605</v>
      </c>
      <c r="B496" t="s">
        <v>124</v>
      </c>
      <c r="C496" t="s">
        <v>88</v>
      </c>
      <c r="D496" t="s">
        <v>14</v>
      </c>
      <c r="E496" s="2">
        <v>60.48</v>
      </c>
      <c r="F496" s="2">
        <v>94.34</v>
      </c>
      <c r="G496" s="3">
        <v>288</v>
      </c>
      <c r="H496" s="3">
        <v>167</v>
      </c>
      <c r="I496" s="3">
        <v>121</v>
      </c>
      <c r="J496" s="3">
        <v>60</v>
      </c>
      <c r="K496" t="s">
        <v>20</v>
      </c>
      <c r="L496" s="2">
        <f t="shared" si="21"/>
        <v>33.860000000000007</v>
      </c>
      <c r="M496" s="2">
        <f t="shared" si="22"/>
        <v>15754.78</v>
      </c>
      <c r="N496" s="2">
        <f t="shared" si="23"/>
        <v>5654.6200000000008</v>
      </c>
    </row>
    <row r="497" spans="1:14">
      <c r="A497" t="s">
        <v>606</v>
      </c>
      <c r="B497" t="s">
        <v>116</v>
      </c>
      <c r="C497" t="s">
        <v>23</v>
      </c>
      <c r="D497" t="s">
        <v>24</v>
      </c>
      <c r="E497" s="2">
        <v>11.94</v>
      </c>
      <c r="F497" s="2">
        <v>20.54</v>
      </c>
      <c r="G497" s="3">
        <v>480</v>
      </c>
      <c r="H497" s="3">
        <v>364</v>
      </c>
      <c r="I497" s="3">
        <v>116</v>
      </c>
      <c r="J497" s="3">
        <v>119</v>
      </c>
      <c r="K497" t="s">
        <v>15</v>
      </c>
      <c r="L497" s="2">
        <f t="shared" si="21"/>
        <v>8.6</v>
      </c>
      <c r="M497" s="2">
        <f t="shared" si="22"/>
        <v>7476.5599999999995</v>
      </c>
      <c r="N497" s="2">
        <f t="shared" si="23"/>
        <v>3130.4</v>
      </c>
    </row>
    <row r="498" spans="1:14">
      <c r="A498" t="s">
        <v>607</v>
      </c>
      <c r="B498" t="s">
        <v>164</v>
      </c>
      <c r="C498" t="s">
        <v>18</v>
      </c>
      <c r="D498" t="s">
        <v>48</v>
      </c>
      <c r="E498" s="2">
        <v>8.77</v>
      </c>
      <c r="F498" s="2">
        <v>16.41</v>
      </c>
      <c r="G498" s="3">
        <v>96</v>
      </c>
      <c r="H498" s="3">
        <v>20</v>
      </c>
      <c r="I498" s="3">
        <v>76</v>
      </c>
      <c r="J498" s="3">
        <v>23</v>
      </c>
      <c r="K498" t="s">
        <v>20</v>
      </c>
      <c r="L498" s="2">
        <f t="shared" si="21"/>
        <v>7.6400000000000006</v>
      </c>
      <c r="M498" s="2">
        <f t="shared" si="22"/>
        <v>328.2</v>
      </c>
      <c r="N498" s="2">
        <f t="shared" si="23"/>
        <v>152.80000000000001</v>
      </c>
    </row>
    <row r="499" spans="1:14">
      <c r="A499" t="s">
        <v>608</v>
      </c>
      <c r="B499" t="s">
        <v>248</v>
      </c>
      <c r="C499" t="s">
        <v>27</v>
      </c>
      <c r="D499" t="s">
        <v>39</v>
      </c>
      <c r="E499" s="2">
        <v>21.38</v>
      </c>
      <c r="F499" s="2">
        <v>30.98</v>
      </c>
      <c r="G499" s="3">
        <v>176</v>
      </c>
      <c r="H499" s="3">
        <v>42</v>
      </c>
      <c r="I499" s="3">
        <v>134</v>
      </c>
      <c r="J499" s="3">
        <v>32</v>
      </c>
      <c r="K499" t="s">
        <v>20</v>
      </c>
      <c r="L499" s="2">
        <f t="shared" si="21"/>
        <v>9.6000000000000014</v>
      </c>
      <c r="M499" s="2">
        <f t="shared" si="22"/>
        <v>1301.1600000000001</v>
      </c>
      <c r="N499" s="2">
        <f t="shared" si="23"/>
        <v>403.20000000000005</v>
      </c>
    </row>
    <row r="500" spans="1:14">
      <c r="A500" t="s">
        <v>609</v>
      </c>
      <c r="B500" t="s">
        <v>149</v>
      </c>
      <c r="C500" t="s">
        <v>47</v>
      </c>
      <c r="D500" t="s">
        <v>24</v>
      </c>
      <c r="E500" s="2">
        <v>10.76</v>
      </c>
      <c r="F500" s="2">
        <v>14.5</v>
      </c>
      <c r="G500" s="3">
        <v>85</v>
      </c>
      <c r="H500" s="3">
        <v>18</v>
      </c>
      <c r="I500" s="3">
        <v>67</v>
      </c>
      <c r="J500" s="3">
        <v>11</v>
      </c>
      <c r="K500" t="s">
        <v>20</v>
      </c>
      <c r="L500" s="2">
        <f t="shared" si="21"/>
        <v>3.74</v>
      </c>
      <c r="M500" s="2">
        <f t="shared" si="22"/>
        <v>261</v>
      </c>
      <c r="N500" s="2">
        <f t="shared" si="23"/>
        <v>67.320000000000007</v>
      </c>
    </row>
    <row r="501" spans="1:14">
      <c r="A501" t="s">
        <v>610</v>
      </c>
      <c r="B501" t="s">
        <v>179</v>
      </c>
      <c r="C501" t="s">
        <v>53</v>
      </c>
      <c r="D501" t="s">
        <v>54</v>
      </c>
      <c r="E501" s="2">
        <v>19.440000000000001</v>
      </c>
      <c r="F501" s="2">
        <v>37.51</v>
      </c>
      <c r="G501" s="3">
        <v>49</v>
      </c>
      <c r="H501" s="3">
        <v>32</v>
      </c>
      <c r="I501" s="3">
        <v>17</v>
      </c>
      <c r="J501" s="3">
        <v>9</v>
      </c>
      <c r="K501" t="s">
        <v>20</v>
      </c>
      <c r="L501" s="2">
        <f t="shared" si="21"/>
        <v>18.069999999999997</v>
      </c>
      <c r="M501" s="2">
        <f t="shared" si="22"/>
        <v>1200.32</v>
      </c>
      <c r="N501" s="2">
        <f t="shared" si="23"/>
        <v>578.2399999999999</v>
      </c>
    </row>
    <row r="502" spans="1:14">
      <c r="A502" t="s">
        <v>611</v>
      </c>
      <c r="B502" t="s">
        <v>229</v>
      </c>
      <c r="C502" t="s">
        <v>88</v>
      </c>
      <c r="D502" t="s">
        <v>39</v>
      </c>
      <c r="E502" s="2">
        <v>52.59</v>
      </c>
      <c r="F502" s="2">
        <v>69.39</v>
      </c>
      <c r="G502" s="3">
        <v>359</v>
      </c>
      <c r="H502" s="3">
        <v>113</v>
      </c>
      <c r="I502" s="3">
        <v>246</v>
      </c>
      <c r="J502" s="3">
        <v>44</v>
      </c>
      <c r="K502" t="s">
        <v>20</v>
      </c>
      <c r="L502" s="2">
        <f t="shared" si="21"/>
        <v>16.799999999999997</v>
      </c>
      <c r="M502" s="2">
        <f t="shared" si="22"/>
        <v>7841.07</v>
      </c>
      <c r="N502" s="2">
        <f t="shared" si="23"/>
        <v>1898.3999999999996</v>
      </c>
    </row>
    <row r="503" spans="1:14">
      <c r="A503" t="s">
        <v>612</v>
      </c>
      <c r="B503" t="s">
        <v>135</v>
      </c>
      <c r="C503" t="s">
        <v>18</v>
      </c>
      <c r="D503" t="s">
        <v>42</v>
      </c>
      <c r="E503" s="2">
        <v>9.8800000000000008</v>
      </c>
      <c r="F503" s="2">
        <v>20.52</v>
      </c>
      <c r="G503" s="3">
        <v>128</v>
      </c>
      <c r="H503" s="3">
        <v>82</v>
      </c>
      <c r="I503" s="3">
        <v>46</v>
      </c>
      <c r="J503" s="3">
        <v>29</v>
      </c>
      <c r="K503" t="s">
        <v>20</v>
      </c>
      <c r="L503" s="2">
        <f t="shared" si="21"/>
        <v>10.639999999999999</v>
      </c>
      <c r="M503" s="2">
        <f t="shared" si="22"/>
        <v>1682.6399999999999</v>
      </c>
      <c r="N503" s="2">
        <f t="shared" si="23"/>
        <v>872.4799999999999</v>
      </c>
    </row>
    <row r="504" spans="1:14">
      <c r="A504" t="s">
        <v>613</v>
      </c>
      <c r="B504" t="s">
        <v>149</v>
      </c>
      <c r="C504" t="s">
        <v>47</v>
      </c>
      <c r="D504" t="s">
        <v>14</v>
      </c>
      <c r="E504" s="2">
        <v>10.61</v>
      </c>
      <c r="F504" s="2">
        <v>20.74</v>
      </c>
      <c r="G504" s="3">
        <v>397</v>
      </c>
      <c r="H504" s="3">
        <v>318</v>
      </c>
      <c r="I504" s="3">
        <v>79</v>
      </c>
      <c r="J504" s="3">
        <v>48</v>
      </c>
      <c r="K504" t="s">
        <v>20</v>
      </c>
      <c r="L504" s="2">
        <f t="shared" si="21"/>
        <v>10.129999999999999</v>
      </c>
      <c r="M504" s="2">
        <f t="shared" si="22"/>
        <v>6595.32</v>
      </c>
      <c r="N504" s="2">
        <f t="shared" si="23"/>
        <v>3221.3399999999997</v>
      </c>
    </row>
    <row r="505" spans="1:14">
      <c r="A505" t="s">
        <v>614</v>
      </c>
      <c r="B505" t="s">
        <v>12</v>
      </c>
      <c r="C505" t="s">
        <v>13</v>
      </c>
      <c r="D505" t="s">
        <v>54</v>
      </c>
      <c r="E505" s="2">
        <v>17.5</v>
      </c>
      <c r="F505" s="2">
        <v>35.590000000000003</v>
      </c>
      <c r="G505" s="3">
        <v>72</v>
      </c>
      <c r="H505" s="3">
        <v>12</v>
      </c>
      <c r="I505" s="3">
        <v>60</v>
      </c>
      <c r="J505" s="3">
        <v>14</v>
      </c>
      <c r="K505" t="s">
        <v>20</v>
      </c>
      <c r="L505" s="2">
        <f t="shared" si="21"/>
        <v>18.090000000000003</v>
      </c>
      <c r="M505" s="2">
        <f t="shared" si="22"/>
        <v>427.08000000000004</v>
      </c>
      <c r="N505" s="2">
        <f t="shared" si="23"/>
        <v>217.08000000000004</v>
      </c>
    </row>
    <row r="506" spans="1:14">
      <c r="A506" t="s">
        <v>615</v>
      </c>
      <c r="B506" t="s">
        <v>87</v>
      </c>
      <c r="C506" t="s">
        <v>88</v>
      </c>
      <c r="D506" t="s">
        <v>39</v>
      </c>
      <c r="E506" s="2">
        <v>32.74</v>
      </c>
      <c r="F506" s="2">
        <v>53.72</v>
      </c>
      <c r="G506" s="3">
        <v>49</v>
      </c>
      <c r="H506" s="3">
        <v>31</v>
      </c>
      <c r="I506" s="3">
        <v>18</v>
      </c>
      <c r="J506" s="3">
        <v>7</v>
      </c>
      <c r="K506" t="s">
        <v>20</v>
      </c>
      <c r="L506" s="2">
        <f t="shared" si="21"/>
        <v>20.979999999999997</v>
      </c>
      <c r="M506" s="2">
        <f t="shared" si="22"/>
        <v>1665.32</v>
      </c>
      <c r="N506" s="2">
        <f t="shared" si="23"/>
        <v>650.37999999999988</v>
      </c>
    </row>
    <row r="507" spans="1:14">
      <c r="A507" t="s">
        <v>616</v>
      </c>
      <c r="B507" t="s">
        <v>151</v>
      </c>
      <c r="C507" t="s">
        <v>53</v>
      </c>
      <c r="D507" t="s">
        <v>14</v>
      </c>
      <c r="E507" s="2">
        <v>31.35</v>
      </c>
      <c r="F507" s="2">
        <v>51.74</v>
      </c>
      <c r="G507" s="3">
        <v>167</v>
      </c>
      <c r="H507" s="3">
        <v>62</v>
      </c>
      <c r="I507" s="3">
        <v>105</v>
      </c>
      <c r="J507" s="3">
        <v>40</v>
      </c>
      <c r="K507" t="s">
        <v>20</v>
      </c>
      <c r="L507" s="2">
        <f t="shared" si="21"/>
        <v>20.39</v>
      </c>
      <c r="M507" s="2">
        <f t="shared" si="22"/>
        <v>3207.88</v>
      </c>
      <c r="N507" s="2">
        <f t="shared" si="23"/>
        <v>1264.18</v>
      </c>
    </row>
    <row r="508" spans="1:14">
      <c r="A508" t="s">
        <v>617</v>
      </c>
      <c r="B508" t="s">
        <v>76</v>
      </c>
      <c r="C508" t="s">
        <v>27</v>
      </c>
      <c r="D508" t="s">
        <v>14</v>
      </c>
      <c r="E508" s="2">
        <v>21.14</v>
      </c>
      <c r="F508" s="2">
        <v>37.26</v>
      </c>
      <c r="G508" s="3">
        <v>41</v>
      </c>
      <c r="H508" s="3">
        <v>31</v>
      </c>
      <c r="I508" s="3">
        <v>10</v>
      </c>
      <c r="J508" s="3">
        <v>8</v>
      </c>
      <c r="K508" t="s">
        <v>20</v>
      </c>
      <c r="L508" s="2">
        <f t="shared" si="21"/>
        <v>16.119999999999997</v>
      </c>
      <c r="M508" s="2">
        <f t="shared" si="22"/>
        <v>1155.06</v>
      </c>
      <c r="N508" s="2">
        <f t="shared" si="23"/>
        <v>499.71999999999991</v>
      </c>
    </row>
    <row r="509" spans="1:14">
      <c r="A509" t="s">
        <v>618</v>
      </c>
      <c r="B509" t="s">
        <v>237</v>
      </c>
      <c r="C509" t="s">
        <v>47</v>
      </c>
      <c r="D509" t="s">
        <v>54</v>
      </c>
      <c r="E509" s="2">
        <v>7.19</v>
      </c>
      <c r="F509" s="2">
        <v>11.99</v>
      </c>
      <c r="G509" s="3">
        <v>389</v>
      </c>
      <c r="H509" s="3">
        <v>327</v>
      </c>
      <c r="I509" s="3">
        <v>62</v>
      </c>
      <c r="J509" s="3">
        <v>54</v>
      </c>
      <c r="K509" t="s">
        <v>20</v>
      </c>
      <c r="L509" s="2">
        <f t="shared" si="21"/>
        <v>4.8</v>
      </c>
      <c r="M509" s="2">
        <f t="shared" si="22"/>
        <v>3920.73</v>
      </c>
      <c r="N509" s="2">
        <f t="shared" si="23"/>
        <v>1569.6</v>
      </c>
    </row>
    <row r="510" spans="1:14">
      <c r="A510" t="s">
        <v>619</v>
      </c>
      <c r="B510" t="s">
        <v>26</v>
      </c>
      <c r="C510" t="s">
        <v>27</v>
      </c>
      <c r="D510" t="s">
        <v>100</v>
      </c>
      <c r="E510" s="2">
        <v>9.41</v>
      </c>
      <c r="F510" s="2">
        <v>14.94</v>
      </c>
      <c r="G510" s="3">
        <v>87</v>
      </c>
      <c r="H510" s="3">
        <v>40</v>
      </c>
      <c r="I510" s="3">
        <v>47</v>
      </c>
      <c r="J510" s="3">
        <v>13</v>
      </c>
      <c r="K510" t="s">
        <v>20</v>
      </c>
      <c r="L510" s="2">
        <f t="shared" si="21"/>
        <v>5.5299999999999994</v>
      </c>
      <c r="M510" s="2">
        <f t="shared" si="22"/>
        <v>597.6</v>
      </c>
      <c r="N510" s="2">
        <f t="shared" si="23"/>
        <v>221.2</v>
      </c>
    </row>
    <row r="511" spans="1:14">
      <c r="A511" t="s">
        <v>620</v>
      </c>
      <c r="B511" t="s">
        <v>32</v>
      </c>
      <c r="C511" t="s">
        <v>33</v>
      </c>
      <c r="D511" t="s">
        <v>28</v>
      </c>
      <c r="E511" s="2">
        <v>9.2200000000000006</v>
      </c>
      <c r="F511" s="2">
        <v>11.99</v>
      </c>
      <c r="G511" s="3">
        <v>438</v>
      </c>
      <c r="H511" s="3">
        <v>140</v>
      </c>
      <c r="I511" s="3">
        <v>298</v>
      </c>
      <c r="J511" s="3">
        <v>99</v>
      </c>
      <c r="K511" t="s">
        <v>20</v>
      </c>
      <c r="L511" s="2">
        <f t="shared" si="21"/>
        <v>2.7699999999999996</v>
      </c>
      <c r="M511" s="2">
        <f t="shared" si="22"/>
        <v>1678.6000000000001</v>
      </c>
      <c r="N511" s="2">
        <f t="shared" si="23"/>
        <v>387.79999999999995</v>
      </c>
    </row>
    <row r="512" spans="1:14">
      <c r="A512" t="s">
        <v>621</v>
      </c>
      <c r="B512" t="s">
        <v>81</v>
      </c>
      <c r="C512" t="s">
        <v>47</v>
      </c>
      <c r="D512" t="s">
        <v>100</v>
      </c>
      <c r="E512" s="2">
        <v>13.11</v>
      </c>
      <c r="F512" s="2">
        <v>28.13</v>
      </c>
      <c r="G512" s="3">
        <v>360</v>
      </c>
      <c r="H512" s="3">
        <v>231</v>
      </c>
      <c r="I512" s="3">
        <v>129</v>
      </c>
      <c r="J512" s="3">
        <v>51</v>
      </c>
      <c r="K512" t="s">
        <v>20</v>
      </c>
      <c r="L512" s="2">
        <f t="shared" si="21"/>
        <v>15.02</v>
      </c>
      <c r="M512" s="2">
        <f t="shared" si="22"/>
        <v>6498.03</v>
      </c>
      <c r="N512" s="2">
        <f t="shared" si="23"/>
        <v>3469.62</v>
      </c>
    </row>
    <row r="513" spans="1:14">
      <c r="A513" t="s">
        <v>622</v>
      </c>
      <c r="B513" t="s">
        <v>186</v>
      </c>
      <c r="C513" t="s">
        <v>13</v>
      </c>
      <c r="D513" t="s">
        <v>28</v>
      </c>
      <c r="E513" s="2">
        <v>7.65</v>
      </c>
      <c r="F513" s="2">
        <v>16.16</v>
      </c>
      <c r="G513" s="3">
        <v>246</v>
      </c>
      <c r="H513" s="3">
        <v>193</v>
      </c>
      <c r="I513" s="3">
        <v>53</v>
      </c>
      <c r="J513" s="3">
        <v>56</v>
      </c>
      <c r="K513" t="s">
        <v>15</v>
      </c>
      <c r="L513" s="2">
        <f t="shared" si="21"/>
        <v>8.51</v>
      </c>
      <c r="M513" s="2">
        <f t="shared" si="22"/>
        <v>3118.88</v>
      </c>
      <c r="N513" s="2">
        <f t="shared" si="23"/>
        <v>1642.43</v>
      </c>
    </row>
    <row r="514" spans="1:14">
      <c r="A514" t="s">
        <v>623</v>
      </c>
      <c r="B514" t="s">
        <v>220</v>
      </c>
      <c r="C514" t="s">
        <v>23</v>
      </c>
      <c r="D514" t="s">
        <v>24</v>
      </c>
      <c r="E514" s="2">
        <v>19.690000000000001</v>
      </c>
      <c r="F514" s="2">
        <v>39.54</v>
      </c>
      <c r="G514" s="3">
        <v>81</v>
      </c>
      <c r="H514" s="3">
        <v>21</v>
      </c>
      <c r="I514" s="3">
        <v>60</v>
      </c>
      <c r="J514" s="3">
        <v>12</v>
      </c>
      <c r="K514" t="s">
        <v>20</v>
      </c>
      <c r="L514" s="2">
        <f t="shared" si="21"/>
        <v>19.849999999999998</v>
      </c>
      <c r="M514" s="2">
        <f t="shared" si="22"/>
        <v>830.34</v>
      </c>
      <c r="N514" s="2">
        <f t="shared" si="23"/>
        <v>416.84999999999997</v>
      </c>
    </row>
    <row r="515" spans="1:14">
      <c r="A515" t="s">
        <v>624</v>
      </c>
      <c r="B515" t="s">
        <v>299</v>
      </c>
      <c r="C515" t="s">
        <v>13</v>
      </c>
      <c r="D515" t="s">
        <v>14</v>
      </c>
      <c r="E515" s="2">
        <v>26.12</v>
      </c>
      <c r="F515" s="2">
        <v>52.38</v>
      </c>
      <c r="G515" s="3">
        <v>488</v>
      </c>
      <c r="H515" s="3">
        <v>239</v>
      </c>
      <c r="I515" s="3">
        <v>249</v>
      </c>
      <c r="J515" s="3">
        <v>53</v>
      </c>
      <c r="K515" t="s">
        <v>20</v>
      </c>
      <c r="L515" s="2">
        <f t="shared" ref="L515:L578" si="24">F515-E515</f>
        <v>26.26</v>
      </c>
      <c r="M515" s="2">
        <f t="shared" ref="M515:M578" si="25">H515*F515</f>
        <v>12518.82</v>
      </c>
      <c r="N515" s="2">
        <f t="shared" ref="N515:N578" si="26">H515*L515</f>
        <v>6276.14</v>
      </c>
    </row>
    <row r="516" spans="1:14">
      <c r="A516" t="s">
        <v>625</v>
      </c>
      <c r="B516" t="s">
        <v>131</v>
      </c>
      <c r="C516" t="s">
        <v>88</v>
      </c>
      <c r="D516" t="s">
        <v>28</v>
      </c>
      <c r="E516" s="2">
        <v>18.88</v>
      </c>
      <c r="F516" s="2">
        <v>39.15</v>
      </c>
      <c r="G516" s="3">
        <v>428</v>
      </c>
      <c r="H516" s="3">
        <v>190</v>
      </c>
      <c r="I516" s="3">
        <v>238</v>
      </c>
      <c r="J516" s="3">
        <v>100</v>
      </c>
      <c r="K516" t="s">
        <v>20</v>
      </c>
      <c r="L516" s="2">
        <f t="shared" si="24"/>
        <v>20.27</v>
      </c>
      <c r="M516" s="2">
        <f t="shared" si="25"/>
        <v>7438.5</v>
      </c>
      <c r="N516" s="2">
        <f t="shared" si="26"/>
        <v>3851.2999999999997</v>
      </c>
    </row>
    <row r="517" spans="1:14">
      <c r="A517" t="s">
        <v>626</v>
      </c>
      <c r="B517" t="s">
        <v>32</v>
      </c>
      <c r="C517" t="s">
        <v>33</v>
      </c>
      <c r="D517" t="s">
        <v>28</v>
      </c>
      <c r="E517" s="2">
        <v>10.84</v>
      </c>
      <c r="F517" s="2">
        <v>19.440000000000001</v>
      </c>
      <c r="G517" s="3">
        <v>215</v>
      </c>
      <c r="H517" s="3">
        <v>132</v>
      </c>
      <c r="I517" s="3">
        <v>83</v>
      </c>
      <c r="J517" s="3">
        <v>33</v>
      </c>
      <c r="K517" t="s">
        <v>20</v>
      </c>
      <c r="L517" s="2">
        <f t="shared" si="24"/>
        <v>8.6000000000000014</v>
      </c>
      <c r="M517" s="2">
        <f t="shared" si="25"/>
        <v>2566.0800000000004</v>
      </c>
      <c r="N517" s="2">
        <f t="shared" si="26"/>
        <v>1135.2000000000003</v>
      </c>
    </row>
    <row r="518" spans="1:14">
      <c r="A518" t="s">
        <v>627</v>
      </c>
      <c r="B518" t="s">
        <v>76</v>
      </c>
      <c r="C518" t="s">
        <v>27</v>
      </c>
      <c r="D518" t="s">
        <v>19</v>
      </c>
      <c r="E518" s="2">
        <v>18.649999999999999</v>
      </c>
      <c r="F518" s="2">
        <v>25.09</v>
      </c>
      <c r="G518" s="3">
        <v>247</v>
      </c>
      <c r="H518" s="3">
        <v>222</v>
      </c>
      <c r="I518" s="3">
        <v>25</v>
      </c>
      <c r="J518" s="3">
        <v>26</v>
      </c>
      <c r="K518" t="s">
        <v>15</v>
      </c>
      <c r="L518" s="2">
        <f t="shared" si="24"/>
        <v>6.4400000000000013</v>
      </c>
      <c r="M518" s="2">
        <f t="shared" si="25"/>
        <v>5569.98</v>
      </c>
      <c r="N518" s="2">
        <f t="shared" si="26"/>
        <v>1429.6800000000003</v>
      </c>
    </row>
    <row r="519" spans="1:14">
      <c r="A519" t="s">
        <v>628</v>
      </c>
      <c r="B519" t="s">
        <v>227</v>
      </c>
      <c r="C519" t="s">
        <v>27</v>
      </c>
      <c r="D519" t="s">
        <v>28</v>
      </c>
      <c r="E519" s="2">
        <v>5.81</v>
      </c>
      <c r="F519" s="2">
        <v>10.97</v>
      </c>
      <c r="G519" s="3">
        <v>237</v>
      </c>
      <c r="H519" s="3">
        <v>200</v>
      </c>
      <c r="I519" s="3">
        <v>37</v>
      </c>
      <c r="J519" s="3">
        <v>39</v>
      </c>
      <c r="K519" t="s">
        <v>15</v>
      </c>
      <c r="L519" s="2">
        <f t="shared" si="24"/>
        <v>5.160000000000001</v>
      </c>
      <c r="M519" s="2">
        <f t="shared" si="25"/>
        <v>2194</v>
      </c>
      <c r="N519" s="2">
        <f t="shared" si="26"/>
        <v>1032.0000000000002</v>
      </c>
    </row>
    <row r="520" spans="1:14">
      <c r="A520" t="s">
        <v>629</v>
      </c>
      <c r="B520" t="s">
        <v>131</v>
      </c>
      <c r="C520" t="s">
        <v>88</v>
      </c>
      <c r="D520" t="s">
        <v>39</v>
      </c>
      <c r="E520" s="2">
        <v>70.83</v>
      </c>
      <c r="F520" s="2">
        <v>121.38</v>
      </c>
      <c r="G520" s="3">
        <v>403</v>
      </c>
      <c r="H520" s="3">
        <v>247</v>
      </c>
      <c r="I520" s="3">
        <v>156</v>
      </c>
      <c r="J520" s="3">
        <v>74</v>
      </c>
      <c r="K520" t="s">
        <v>20</v>
      </c>
      <c r="L520" s="2">
        <f t="shared" si="24"/>
        <v>50.55</v>
      </c>
      <c r="M520" s="2">
        <f t="shared" si="25"/>
        <v>29980.86</v>
      </c>
      <c r="N520" s="2">
        <f t="shared" si="26"/>
        <v>12485.849999999999</v>
      </c>
    </row>
    <row r="521" spans="1:14">
      <c r="A521" t="s">
        <v>630</v>
      </c>
      <c r="B521" t="s">
        <v>153</v>
      </c>
      <c r="C521" t="s">
        <v>27</v>
      </c>
      <c r="D521" t="s">
        <v>19</v>
      </c>
      <c r="E521" s="2">
        <v>20.399999999999999</v>
      </c>
      <c r="F521" s="2">
        <v>34.29</v>
      </c>
      <c r="G521" s="3">
        <v>280</v>
      </c>
      <c r="H521" s="3">
        <v>256</v>
      </c>
      <c r="I521" s="3">
        <v>24</v>
      </c>
      <c r="J521" s="3">
        <v>33</v>
      </c>
      <c r="K521" t="s">
        <v>15</v>
      </c>
      <c r="L521" s="2">
        <f t="shared" si="24"/>
        <v>13.89</v>
      </c>
      <c r="M521" s="2">
        <f t="shared" si="25"/>
        <v>8778.24</v>
      </c>
      <c r="N521" s="2">
        <f t="shared" si="26"/>
        <v>3555.84</v>
      </c>
    </row>
    <row r="522" spans="1:14">
      <c r="A522" t="s">
        <v>631</v>
      </c>
      <c r="B522" t="s">
        <v>421</v>
      </c>
      <c r="C522" t="s">
        <v>33</v>
      </c>
      <c r="D522" t="s">
        <v>19</v>
      </c>
      <c r="E522" s="2">
        <v>9.43</v>
      </c>
      <c r="F522" s="2">
        <v>18.27</v>
      </c>
      <c r="G522" s="3">
        <v>448</v>
      </c>
      <c r="H522" s="3">
        <v>110</v>
      </c>
      <c r="I522" s="3">
        <v>338</v>
      </c>
      <c r="J522" s="3">
        <v>54</v>
      </c>
      <c r="K522" t="s">
        <v>20</v>
      </c>
      <c r="L522" s="2">
        <f t="shared" si="24"/>
        <v>8.84</v>
      </c>
      <c r="M522" s="2">
        <f t="shared" si="25"/>
        <v>2009.7</v>
      </c>
      <c r="N522" s="2">
        <f t="shared" si="26"/>
        <v>972.4</v>
      </c>
    </row>
    <row r="523" spans="1:14">
      <c r="A523" t="s">
        <v>632</v>
      </c>
      <c r="B523" t="s">
        <v>81</v>
      </c>
      <c r="C523" t="s">
        <v>47</v>
      </c>
      <c r="D523" t="s">
        <v>42</v>
      </c>
      <c r="E523" s="2">
        <v>11.25</v>
      </c>
      <c r="F523" s="2">
        <v>18.21</v>
      </c>
      <c r="G523" s="3">
        <v>450</v>
      </c>
      <c r="H523" s="3">
        <v>204</v>
      </c>
      <c r="I523" s="3">
        <v>246</v>
      </c>
      <c r="J523" s="3">
        <v>57</v>
      </c>
      <c r="K523" t="s">
        <v>20</v>
      </c>
      <c r="L523" s="2">
        <f t="shared" si="24"/>
        <v>6.9600000000000009</v>
      </c>
      <c r="M523" s="2">
        <f t="shared" si="25"/>
        <v>3714.84</v>
      </c>
      <c r="N523" s="2">
        <f t="shared" si="26"/>
        <v>1419.8400000000001</v>
      </c>
    </row>
    <row r="524" spans="1:14">
      <c r="A524" t="s">
        <v>633</v>
      </c>
      <c r="B524" t="s">
        <v>164</v>
      </c>
      <c r="C524" t="s">
        <v>18</v>
      </c>
      <c r="D524" t="s">
        <v>19</v>
      </c>
      <c r="E524" s="2">
        <v>11.87</v>
      </c>
      <c r="F524" s="2">
        <v>18.11</v>
      </c>
      <c r="G524" s="3">
        <v>92</v>
      </c>
      <c r="H524" s="3">
        <v>24</v>
      </c>
      <c r="I524" s="3">
        <v>68</v>
      </c>
      <c r="J524" s="3">
        <v>11</v>
      </c>
      <c r="K524" t="s">
        <v>20</v>
      </c>
      <c r="L524" s="2">
        <f t="shared" si="24"/>
        <v>6.24</v>
      </c>
      <c r="M524" s="2">
        <f t="shared" si="25"/>
        <v>434.64</v>
      </c>
      <c r="N524" s="2">
        <f t="shared" si="26"/>
        <v>149.76</v>
      </c>
    </row>
    <row r="525" spans="1:14">
      <c r="A525" t="s">
        <v>634</v>
      </c>
      <c r="B525" t="s">
        <v>421</v>
      </c>
      <c r="C525" t="s">
        <v>33</v>
      </c>
      <c r="D525" t="s">
        <v>100</v>
      </c>
      <c r="E525" s="2">
        <v>4.5199999999999996</v>
      </c>
      <c r="F525" s="2">
        <v>7.64</v>
      </c>
      <c r="G525" s="3">
        <v>308</v>
      </c>
      <c r="H525" s="3">
        <v>160</v>
      </c>
      <c r="I525" s="3">
        <v>148</v>
      </c>
      <c r="J525" s="3">
        <v>66</v>
      </c>
      <c r="K525" t="s">
        <v>20</v>
      </c>
      <c r="L525" s="2">
        <f t="shared" si="24"/>
        <v>3.12</v>
      </c>
      <c r="M525" s="2">
        <f t="shared" si="25"/>
        <v>1222.3999999999999</v>
      </c>
      <c r="N525" s="2">
        <f t="shared" si="26"/>
        <v>499.20000000000005</v>
      </c>
    </row>
    <row r="526" spans="1:14">
      <c r="A526" t="s">
        <v>635</v>
      </c>
      <c r="B526" t="s">
        <v>227</v>
      </c>
      <c r="C526" t="s">
        <v>27</v>
      </c>
      <c r="D526" t="s">
        <v>100</v>
      </c>
      <c r="E526" s="2">
        <v>5.57</v>
      </c>
      <c r="F526" s="2">
        <v>10.69</v>
      </c>
      <c r="G526" s="3">
        <v>195</v>
      </c>
      <c r="H526" s="3">
        <v>154</v>
      </c>
      <c r="I526" s="3">
        <v>41</v>
      </c>
      <c r="J526" s="3">
        <v>26</v>
      </c>
      <c r="K526" t="s">
        <v>20</v>
      </c>
      <c r="L526" s="2">
        <f t="shared" si="24"/>
        <v>5.1199999999999992</v>
      </c>
      <c r="M526" s="2">
        <f t="shared" si="25"/>
        <v>1646.26</v>
      </c>
      <c r="N526" s="2">
        <f t="shared" si="26"/>
        <v>788.4799999999999</v>
      </c>
    </row>
    <row r="527" spans="1:14">
      <c r="A527" t="s">
        <v>636</v>
      </c>
      <c r="B527" t="s">
        <v>167</v>
      </c>
      <c r="C527" t="s">
        <v>88</v>
      </c>
      <c r="D527" t="s">
        <v>19</v>
      </c>
      <c r="E527" s="2">
        <v>65.430000000000007</v>
      </c>
      <c r="F527" s="2">
        <v>111.82</v>
      </c>
      <c r="G527" s="3">
        <v>337</v>
      </c>
      <c r="H527" s="3">
        <v>303</v>
      </c>
      <c r="I527" s="3">
        <v>34</v>
      </c>
      <c r="J527" s="3">
        <v>82</v>
      </c>
      <c r="K527" t="s">
        <v>15</v>
      </c>
      <c r="L527" s="2">
        <f t="shared" si="24"/>
        <v>46.389999999999986</v>
      </c>
      <c r="M527" s="2">
        <f t="shared" si="25"/>
        <v>33881.46</v>
      </c>
      <c r="N527" s="2">
        <f t="shared" si="26"/>
        <v>14056.169999999996</v>
      </c>
    </row>
    <row r="528" spans="1:14">
      <c r="A528" t="s">
        <v>637</v>
      </c>
      <c r="B528" t="s">
        <v>220</v>
      </c>
      <c r="C528" t="s">
        <v>23</v>
      </c>
      <c r="D528" t="s">
        <v>24</v>
      </c>
      <c r="E528" s="2">
        <v>15.4</v>
      </c>
      <c r="F528" s="2">
        <v>21.05</v>
      </c>
      <c r="G528" s="3">
        <v>391</v>
      </c>
      <c r="H528" s="3">
        <v>233</v>
      </c>
      <c r="I528" s="3">
        <v>158</v>
      </c>
      <c r="J528" s="3">
        <v>72</v>
      </c>
      <c r="K528" t="s">
        <v>20</v>
      </c>
      <c r="L528" s="2">
        <f t="shared" si="24"/>
        <v>5.65</v>
      </c>
      <c r="M528" s="2">
        <f t="shared" si="25"/>
        <v>4904.6500000000005</v>
      </c>
      <c r="N528" s="2">
        <f t="shared" si="26"/>
        <v>1316.45</v>
      </c>
    </row>
    <row r="529" spans="1:14">
      <c r="A529" t="s">
        <v>638</v>
      </c>
      <c r="B529" t="s">
        <v>216</v>
      </c>
      <c r="C529" t="s">
        <v>23</v>
      </c>
      <c r="D529" t="s">
        <v>19</v>
      </c>
      <c r="E529" s="2">
        <v>24.93</v>
      </c>
      <c r="F529" s="2">
        <v>39.53</v>
      </c>
      <c r="G529" s="3">
        <v>55</v>
      </c>
      <c r="H529" s="3">
        <v>43</v>
      </c>
      <c r="I529" s="3">
        <v>12</v>
      </c>
      <c r="J529" s="3">
        <v>8</v>
      </c>
      <c r="K529" t="s">
        <v>20</v>
      </c>
      <c r="L529" s="2">
        <f t="shared" si="24"/>
        <v>14.600000000000001</v>
      </c>
      <c r="M529" s="2">
        <f t="shared" si="25"/>
        <v>1699.79</v>
      </c>
      <c r="N529" s="2">
        <f t="shared" si="26"/>
        <v>627.80000000000007</v>
      </c>
    </row>
    <row r="530" spans="1:14">
      <c r="A530" t="s">
        <v>639</v>
      </c>
      <c r="B530" t="s">
        <v>46</v>
      </c>
      <c r="C530" t="s">
        <v>47</v>
      </c>
      <c r="D530" t="s">
        <v>54</v>
      </c>
      <c r="E530" s="2">
        <v>11.82</v>
      </c>
      <c r="F530" s="2">
        <v>17.93</v>
      </c>
      <c r="G530" s="3">
        <v>85</v>
      </c>
      <c r="H530" s="3">
        <v>27</v>
      </c>
      <c r="I530" s="3">
        <v>58</v>
      </c>
      <c r="J530" s="3">
        <v>18</v>
      </c>
      <c r="K530" t="s">
        <v>20</v>
      </c>
      <c r="L530" s="2">
        <f t="shared" si="24"/>
        <v>6.1099999999999994</v>
      </c>
      <c r="M530" s="2">
        <f t="shared" si="25"/>
        <v>484.11</v>
      </c>
      <c r="N530" s="2">
        <f t="shared" si="26"/>
        <v>164.96999999999997</v>
      </c>
    </row>
    <row r="531" spans="1:14">
      <c r="A531" t="s">
        <v>640</v>
      </c>
      <c r="B531" t="s">
        <v>17</v>
      </c>
      <c r="C531" t="s">
        <v>18</v>
      </c>
      <c r="D531" t="s">
        <v>42</v>
      </c>
      <c r="E531" s="2">
        <v>14.97</v>
      </c>
      <c r="F531" s="2">
        <v>24.24</v>
      </c>
      <c r="G531" s="3">
        <v>441</v>
      </c>
      <c r="H531" s="3">
        <v>143</v>
      </c>
      <c r="I531" s="3">
        <v>298</v>
      </c>
      <c r="J531" s="3">
        <v>96</v>
      </c>
      <c r="K531" t="s">
        <v>20</v>
      </c>
      <c r="L531" s="2">
        <f t="shared" si="24"/>
        <v>9.2699999999999978</v>
      </c>
      <c r="M531" s="2">
        <f t="shared" si="25"/>
        <v>3466.3199999999997</v>
      </c>
      <c r="N531" s="2">
        <f t="shared" si="26"/>
        <v>1325.6099999999997</v>
      </c>
    </row>
    <row r="532" spans="1:14">
      <c r="A532" t="s">
        <v>641</v>
      </c>
      <c r="B532" t="s">
        <v>72</v>
      </c>
      <c r="C532" t="s">
        <v>27</v>
      </c>
      <c r="D532" t="s">
        <v>48</v>
      </c>
      <c r="E532" s="2">
        <v>23.25</v>
      </c>
      <c r="F532" s="2">
        <v>32.29</v>
      </c>
      <c r="G532" s="3">
        <v>400</v>
      </c>
      <c r="H532" s="3">
        <v>258</v>
      </c>
      <c r="I532" s="3">
        <v>142</v>
      </c>
      <c r="J532" s="3">
        <v>63</v>
      </c>
      <c r="K532" t="s">
        <v>20</v>
      </c>
      <c r="L532" s="2">
        <f t="shared" si="24"/>
        <v>9.0399999999999991</v>
      </c>
      <c r="M532" s="2">
        <f t="shared" si="25"/>
        <v>8330.82</v>
      </c>
      <c r="N532" s="2">
        <f t="shared" si="26"/>
        <v>2332.3199999999997</v>
      </c>
    </row>
    <row r="533" spans="1:14">
      <c r="A533" t="s">
        <v>642</v>
      </c>
      <c r="B533" t="s">
        <v>421</v>
      </c>
      <c r="C533" t="s">
        <v>33</v>
      </c>
      <c r="D533" t="s">
        <v>28</v>
      </c>
      <c r="E533" s="2">
        <v>6.65</v>
      </c>
      <c r="F533" s="2">
        <v>12.45</v>
      </c>
      <c r="G533" s="3">
        <v>127</v>
      </c>
      <c r="H533" s="3">
        <v>59</v>
      </c>
      <c r="I533" s="3">
        <v>68</v>
      </c>
      <c r="J533" s="3">
        <v>21</v>
      </c>
      <c r="K533" t="s">
        <v>20</v>
      </c>
      <c r="L533" s="2">
        <f t="shared" si="24"/>
        <v>5.7999999999999989</v>
      </c>
      <c r="M533" s="2">
        <f t="shared" si="25"/>
        <v>734.55</v>
      </c>
      <c r="N533" s="2">
        <f t="shared" si="26"/>
        <v>342.19999999999993</v>
      </c>
    </row>
    <row r="534" spans="1:14">
      <c r="A534" t="s">
        <v>643</v>
      </c>
      <c r="B534" t="s">
        <v>421</v>
      </c>
      <c r="C534" t="s">
        <v>33</v>
      </c>
      <c r="D534" t="s">
        <v>100</v>
      </c>
      <c r="E534" s="2">
        <v>2.89</v>
      </c>
      <c r="F534" s="2">
        <v>6.24</v>
      </c>
      <c r="G534" s="3">
        <v>365</v>
      </c>
      <c r="H534" s="3">
        <v>146</v>
      </c>
      <c r="I534" s="3">
        <v>219</v>
      </c>
      <c r="J534" s="3">
        <v>49</v>
      </c>
      <c r="K534" t="s">
        <v>20</v>
      </c>
      <c r="L534" s="2">
        <f t="shared" si="24"/>
        <v>3.35</v>
      </c>
      <c r="M534" s="2">
        <f t="shared" si="25"/>
        <v>911.04000000000008</v>
      </c>
      <c r="N534" s="2">
        <f t="shared" si="26"/>
        <v>489.1</v>
      </c>
    </row>
    <row r="535" spans="1:14">
      <c r="A535" t="s">
        <v>644</v>
      </c>
      <c r="B535" t="s">
        <v>351</v>
      </c>
      <c r="C535" t="s">
        <v>47</v>
      </c>
      <c r="D535" t="s">
        <v>48</v>
      </c>
      <c r="E535" s="2">
        <v>0.77</v>
      </c>
      <c r="F535" s="2">
        <v>1.2</v>
      </c>
      <c r="G535" s="3">
        <v>228</v>
      </c>
      <c r="H535" s="3">
        <v>52</v>
      </c>
      <c r="I535" s="3">
        <v>176</v>
      </c>
      <c r="J535" s="3">
        <v>24</v>
      </c>
      <c r="K535" t="s">
        <v>20</v>
      </c>
      <c r="L535" s="2">
        <f t="shared" si="24"/>
        <v>0.42999999999999994</v>
      </c>
      <c r="M535" s="2">
        <f t="shared" si="25"/>
        <v>62.4</v>
      </c>
      <c r="N535" s="2">
        <f t="shared" si="26"/>
        <v>22.359999999999996</v>
      </c>
    </row>
    <row r="536" spans="1:14">
      <c r="A536" t="s">
        <v>645</v>
      </c>
      <c r="B536" t="s">
        <v>79</v>
      </c>
      <c r="C536" t="s">
        <v>13</v>
      </c>
      <c r="D536" t="s">
        <v>42</v>
      </c>
      <c r="E536" s="2">
        <v>6.05</v>
      </c>
      <c r="F536" s="2">
        <v>12.33</v>
      </c>
      <c r="G536" s="3">
        <v>309</v>
      </c>
      <c r="H536" s="3">
        <v>210</v>
      </c>
      <c r="I536" s="3">
        <v>99</v>
      </c>
      <c r="J536" s="3">
        <v>40</v>
      </c>
      <c r="K536" t="s">
        <v>20</v>
      </c>
      <c r="L536" s="2">
        <f t="shared" si="24"/>
        <v>6.28</v>
      </c>
      <c r="M536" s="2">
        <f t="shared" si="25"/>
        <v>2589.3000000000002</v>
      </c>
      <c r="N536" s="2">
        <f t="shared" si="26"/>
        <v>1318.8</v>
      </c>
    </row>
    <row r="537" spans="1:14">
      <c r="A537" t="s">
        <v>646</v>
      </c>
      <c r="B537" t="s">
        <v>56</v>
      </c>
      <c r="C537" t="s">
        <v>23</v>
      </c>
      <c r="D537" t="s">
        <v>42</v>
      </c>
      <c r="E537" s="2">
        <v>17.64</v>
      </c>
      <c r="F537" s="2">
        <v>35.299999999999997</v>
      </c>
      <c r="G537" s="3">
        <v>53</v>
      </c>
      <c r="H537" s="3">
        <v>43</v>
      </c>
      <c r="I537" s="3">
        <v>10</v>
      </c>
      <c r="J537" s="3">
        <v>12</v>
      </c>
      <c r="K537" t="s">
        <v>15</v>
      </c>
      <c r="L537" s="2">
        <f t="shared" si="24"/>
        <v>17.659999999999997</v>
      </c>
      <c r="M537" s="2">
        <f t="shared" si="25"/>
        <v>1517.8999999999999</v>
      </c>
      <c r="N537" s="2">
        <f t="shared" si="26"/>
        <v>759.37999999999988</v>
      </c>
    </row>
    <row r="538" spans="1:14">
      <c r="A538" t="s">
        <v>647</v>
      </c>
      <c r="B538" t="s">
        <v>156</v>
      </c>
      <c r="C538" t="s">
        <v>47</v>
      </c>
      <c r="D538" t="s">
        <v>42</v>
      </c>
      <c r="E538" s="2">
        <v>7.77</v>
      </c>
      <c r="F538" s="2">
        <v>15.23</v>
      </c>
      <c r="G538" s="3">
        <v>447</v>
      </c>
      <c r="H538" s="3">
        <v>191</v>
      </c>
      <c r="I538" s="3">
        <v>256</v>
      </c>
      <c r="J538" s="3">
        <v>97</v>
      </c>
      <c r="K538" t="s">
        <v>20</v>
      </c>
      <c r="L538" s="2">
        <f t="shared" si="24"/>
        <v>7.4600000000000009</v>
      </c>
      <c r="M538" s="2">
        <f t="shared" si="25"/>
        <v>2908.9300000000003</v>
      </c>
      <c r="N538" s="2">
        <f t="shared" si="26"/>
        <v>1424.8600000000001</v>
      </c>
    </row>
    <row r="539" spans="1:14">
      <c r="A539" t="s">
        <v>648</v>
      </c>
      <c r="B539" t="s">
        <v>90</v>
      </c>
      <c r="C539" t="s">
        <v>88</v>
      </c>
      <c r="D539" t="s">
        <v>14</v>
      </c>
      <c r="E539" s="2">
        <v>26.41</v>
      </c>
      <c r="F539" s="2">
        <v>41.24</v>
      </c>
      <c r="G539" s="3">
        <v>493</v>
      </c>
      <c r="H539" s="3">
        <v>187</v>
      </c>
      <c r="I539" s="3">
        <v>306</v>
      </c>
      <c r="J539" s="3">
        <v>92</v>
      </c>
      <c r="K539" t="s">
        <v>20</v>
      </c>
      <c r="L539" s="2">
        <f t="shared" si="24"/>
        <v>14.830000000000002</v>
      </c>
      <c r="M539" s="2">
        <f t="shared" si="25"/>
        <v>7711.88</v>
      </c>
      <c r="N539" s="2">
        <f t="shared" si="26"/>
        <v>2773.2100000000005</v>
      </c>
    </row>
    <row r="540" spans="1:14">
      <c r="A540" t="s">
        <v>649</v>
      </c>
      <c r="B540" t="s">
        <v>66</v>
      </c>
      <c r="C540" t="s">
        <v>18</v>
      </c>
      <c r="D540" t="s">
        <v>54</v>
      </c>
      <c r="E540" s="2">
        <v>10.57</v>
      </c>
      <c r="F540" s="2">
        <v>14.35</v>
      </c>
      <c r="G540" s="3">
        <v>435</v>
      </c>
      <c r="H540" s="3">
        <v>222</v>
      </c>
      <c r="I540" s="3">
        <v>213</v>
      </c>
      <c r="J540" s="3">
        <v>77</v>
      </c>
      <c r="K540" t="s">
        <v>20</v>
      </c>
      <c r="L540" s="2">
        <f t="shared" si="24"/>
        <v>3.7799999999999994</v>
      </c>
      <c r="M540" s="2">
        <f t="shared" si="25"/>
        <v>3185.7</v>
      </c>
      <c r="N540" s="2">
        <f t="shared" si="26"/>
        <v>839.15999999999985</v>
      </c>
    </row>
    <row r="541" spans="1:14">
      <c r="A541" t="s">
        <v>650</v>
      </c>
      <c r="B541" t="s">
        <v>406</v>
      </c>
      <c r="C541" t="s">
        <v>18</v>
      </c>
      <c r="D541" t="s">
        <v>42</v>
      </c>
      <c r="E541" s="2">
        <v>10.49</v>
      </c>
      <c r="F541" s="2">
        <v>22.78</v>
      </c>
      <c r="G541" s="3">
        <v>213</v>
      </c>
      <c r="H541" s="3">
        <v>119</v>
      </c>
      <c r="I541" s="3">
        <v>94</v>
      </c>
      <c r="J541" s="3">
        <v>47</v>
      </c>
      <c r="K541" t="s">
        <v>20</v>
      </c>
      <c r="L541" s="2">
        <f t="shared" si="24"/>
        <v>12.290000000000001</v>
      </c>
      <c r="M541" s="2">
        <f t="shared" si="25"/>
        <v>2710.82</v>
      </c>
      <c r="N541" s="2">
        <f t="shared" si="26"/>
        <v>1462.5100000000002</v>
      </c>
    </row>
    <row r="542" spans="1:14">
      <c r="A542" t="s">
        <v>651</v>
      </c>
      <c r="B542" t="s">
        <v>126</v>
      </c>
      <c r="C542" t="s">
        <v>23</v>
      </c>
      <c r="D542" t="s">
        <v>19</v>
      </c>
      <c r="E542" s="2">
        <v>14.91</v>
      </c>
      <c r="F542" s="2">
        <v>30.42</v>
      </c>
      <c r="G542" s="3">
        <v>353</v>
      </c>
      <c r="H542" s="3">
        <v>65</v>
      </c>
      <c r="I542" s="3">
        <v>288</v>
      </c>
      <c r="J542" s="3">
        <v>68</v>
      </c>
      <c r="K542" t="s">
        <v>20</v>
      </c>
      <c r="L542" s="2">
        <f t="shared" si="24"/>
        <v>15.510000000000002</v>
      </c>
      <c r="M542" s="2">
        <f t="shared" si="25"/>
        <v>1977.3000000000002</v>
      </c>
      <c r="N542" s="2">
        <f t="shared" si="26"/>
        <v>1008.1500000000001</v>
      </c>
    </row>
    <row r="543" spans="1:14">
      <c r="A543" t="s">
        <v>652</v>
      </c>
      <c r="B543" t="s">
        <v>246</v>
      </c>
      <c r="C543" t="s">
        <v>33</v>
      </c>
      <c r="D543" t="s">
        <v>48</v>
      </c>
      <c r="E543" s="2">
        <v>5.14</v>
      </c>
      <c r="F543" s="2">
        <v>7.91</v>
      </c>
      <c r="G543" s="3">
        <v>480</v>
      </c>
      <c r="H543" s="3">
        <v>237</v>
      </c>
      <c r="I543" s="3">
        <v>243</v>
      </c>
      <c r="J543" s="3">
        <v>88</v>
      </c>
      <c r="K543" t="s">
        <v>20</v>
      </c>
      <c r="L543" s="2">
        <f t="shared" si="24"/>
        <v>2.7700000000000005</v>
      </c>
      <c r="M543" s="2">
        <f t="shared" si="25"/>
        <v>1874.67</v>
      </c>
      <c r="N543" s="2">
        <f t="shared" si="26"/>
        <v>656.49000000000012</v>
      </c>
    </row>
    <row r="544" spans="1:14">
      <c r="A544" t="s">
        <v>653</v>
      </c>
      <c r="B544" t="s">
        <v>74</v>
      </c>
      <c r="C544" t="s">
        <v>23</v>
      </c>
      <c r="D544" t="s">
        <v>19</v>
      </c>
      <c r="E544" s="2">
        <v>22.2</v>
      </c>
      <c r="F544" s="2">
        <v>48.49</v>
      </c>
      <c r="G544" s="3">
        <v>262</v>
      </c>
      <c r="H544" s="3">
        <v>84</v>
      </c>
      <c r="I544" s="3">
        <v>178</v>
      </c>
      <c r="J544" s="3">
        <v>51</v>
      </c>
      <c r="K544" t="s">
        <v>20</v>
      </c>
      <c r="L544" s="2">
        <f t="shared" si="24"/>
        <v>26.290000000000003</v>
      </c>
      <c r="M544" s="2">
        <f t="shared" si="25"/>
        <v>4073.1600000000003</v>
      </c>
      <c r="N544" s="2">
        <f t="shared" si="26"/>
        <v>2208.36</v>
      </c>
    </row>
    <row r="545" spans="1:14">
      <c r="A545" t="s">
        <v>654</v>
      </c>
      <c r="B545" t="s">
        <v>46</v>
      </c>
      <c r="C545" t="s">
        <v>47</v>
      </c>
      <c r="D545" t="s">
        <v>42</v>
      </c>
      <c r="E545" s="2">
        <v>1.04</v>
      </c>
      <c r="F545" s="2">
        <v>1.59</v>
      </c>
      <c r="G545" s="3">
        <v>393</v>
      </c>
      <c r="H545" s="3">
        <v>333</v>
      </c>
      <c r="I545" s="3">
        <v>60</v>
      </c>
      <c r="J545" s="3">
        <v>94</v>
      </c>
      <c r="K545" t="s">
        <v>15</v>
      </c>
      <c r="L545" s="2">
        <f t="shared" si="24"/>
        <v>0.55000000000000004</v>
      </c>
      <c r="M545" s="2">
        <f t="shared" si="25"/>
        <v>529.47</v>
      </c>
      <c r="N545" s="2">
        <f t="shared" si="26"/>
        <v>183.15</v>
      </c>
    </row>
    <row r="546" spans="1:14">
      <c r="A546" t="s">
        <v>655</v>
      </c>
      <c r="B546" t="s">
        <v>153</v>
      </c>
      <c r="C546" t="s">
        <v>27</v>
      </c>
      <c r="D546" t="s">
        <v>42</v>
      </c>
      <c r="E546" s="2">
        <v>21.77</v>
      </c>
      <c r="F546" s="2">
        <v>43.7</v>
      </c>
      <c r="G546" s="3">
        <v>231</v>
      </c>
      <c r="H546" s="3">
        <v>161</v>
      </c>
      <c r="I546" s="3">
        <v>70</v>
      </c>
      <c r="J546" s="3">
        <v>51</v>
      </c>
      <c r="K546" t="s">
        <v>20</v>
      </c>
      <c r="L546" s="2">
        <f t="shared" si="24"/>
        <v>21.930000000000003</v>
      </c>
      <c r="M546" s="2">
        <f t="shared" si="25"/>
        <v>7035.7000000000007</v>
      </c>
      <c r="N546" s="2">
        <f t="shared" si="26"/>
        <v>3530.7300000000005</v>
      </c>
    </row>
    <row r="547" spans="1:14">
      <c r="A547" t="s">
        <v>656</v>
      </c>
      <c r="B547" t="s">
        <v>60</v>
      </c>
      <c r="C547" t="s">
        <v>47</v>
      </c>
      <c r="D547" t="s">
        <v>19</v>
      </c>
      <c r="E547" s="2">
        <v>2.82</v>
      </c>
      <c r="F547" s="2">
        <v>5.99</v>
      </c>
      <c r="G547" s="3">
        <v>277</v>
      </c>
      <c r="H547" s="3">
        <v>71</v>
      </c>
      <c r="I547" s="3">
        <v>206</v>
      </c>
      <c r="J547" s="3">
        <v>51</v>
      </c>
      <c r="K547" t="s">
        <v>20</v>
      </c>
      <c r="L547" s="2">
        <f t="shared" si="24"/>
        <v>3.1700000000000004</v>
      </c>
      <c r="M547" s="2">
        <f t="shared" si="25"/>
        <v>425.29</v>
      </c>
      <c r="N547" s="2">
        <f t="shared" si="26"/>
        <v>225.07000000000002</v>
      </c>
    </row>
    <row r="548" spans="1:14">
      <c r="A548" t="s">
        <v>657</v>
      </c>
      <c r="B548" t="s">
        <v>30</v>
      </c>
      <c r="C548" t="s">
        <v>13</v>
      </c>
      <c r="D548" t="s">
        <v>24</v>
      </c>
      <c r="E548" s="2">
        <v>24.56</v>
      </c>
      <c r="F548" s="2">
        <v>33.200000000000003</v>
      </c>
      <c r="G548" s="3">
        <v>364</v>
      </c>
      <c r="H548" s="3">
        <v>252</v>
      </c>
      <c r="I548" s="3">
        <v>112</v>
      </c>
      <c r="J548" s="3">
        <v>80</v>
      </c>
      <c r="K548" t="s">
        <v>20</v>
      </c>
      <c r="L548" s="2">
        <f t="shared" si="24"/>
        <v>8.6400000000000041</v>
      </c>
      <c r="M548" s="2">
        <f t="shared" si="25"/>
        <v>8366.4000000000015</v>
      </c>
      <c r="N548" s="2">
        <f t="shared" si="26"/>
        <v>2177.2800000000011</v>
      </c>
    </row>
    <row r="549" spans="1:14">
      <c r="A549" t="s">
        <v>658</v>
      </c>
      <c r="B549" t="s">
        <v>351</v>
      </c>
      <c r="C549" t="s">
        <v>47</v>
      </c>
      <c r="D549" t="s">
        <v>42</v>
      </c>
      <c r="E549" s="2">
        <v>8.5</v>
      </c>
      <c r="F549" s="2">
        <v>14.88</v>
      </c>
      <c r="G549" s="3">
        <v>267</v>
      </c>
      <c r="H549" s="3">
        <v>77</v>
      </c>
      <c r="I549" s="3">
        <v>190</v>
      </c>
      <c r="J549" s="3">
        <v>37</v>
      </c>
      <c r="K549" t="s">
        <v>20</v>
      </c>
      <c r="L549" s="2">
        <f t="shared" si="24"/>
        <v>6.3800000000000008</v>
      </c>
      <c r="M549" s="2">
        <f t="shared" si="25"/>
        <v>1145.76</v>
      </c>
      <c r="N549" s="2">
        <f t="shared" si="26"/>
        <v>491.26000000000005</v>
      </c>
    </row>
    <row r="550" spans="1:14">
      <c r="A550" t="s">
        <v>659</v>
      </c>
      <c r="B550" t="s">
        <v>83</v>
      </c>
      <c r="C550" t="s">
        <v>47</v>
      </c>
      <c r="D550" t="s">
        <v>100</v>
      </c>
      <c r="E550" s="2">
        <v>6.79</v>
      </c>
      <c r="F550" s="2">
        <v>12</v>
      </c>
      <c r="G550" s="3">
        <v>355</v>
      </c>
      <c r="H550" s="3">
        <v>291</v>
      </c>
      <c r="I550" s="3">
        <v>64</v>
      </c>
      <c r="J550" s="3">
        <v>48</v>
      </c>
      <c r="K550" t="s">
        <v>20</v>
      </c>
      <c r="L550" s="2">
        <f t="shared" si="24"/>
        <v>5.21</v>
      </c>
      <c r="M550" s="2">
        <f t="shared" si="25"/>
        <v>3492</v>
      </c>
      <c r="N550" s="2">
        <f t="shared" si="26"/>
        <v>1516.11</v>
      </c>
    </row>
    <row r="551" spans="1:14">
      <c r="A551" t="s">
        <v>660</v>
      </c>
      <c r="B551" t="s">
        <v>406</v>
      </c>
      <c r="C551" t="s">
        <v>18</v>
      </c>
      <c r="D551" t="s">
        <v>24</v>
      </c>
      <c r="E551" s="2">
        <v>14.69</v>
      </c>
      <c r="F551" s="2">
        <v>29.48</v>
      </c>
      <c r="G551" s="3">
        <v>343</v>
      </c>
      <c r="H551" s="3">
        <v>55</v>
      </c>
      <c r="I551" s="3">
        <v>288</v>
      </c>
      <c r="J551" s="3">
        <v>64</v>
      </c>
      <c r="K551" t="s">
        <v>20</v>
      </c>
      <c r="L551" s="2">
        <f t="shared" si="24"/>
        <v>14.790000000000001</v>
      </c>
      <c r="M551" s="2">
        <f t="shared" si="25"/>
        <v>1621.4</v>
      </c>
      <c r="N551" s="2">
        <f t="shared" si="26"/>
        <v>813.45</v>
      </c>
    </row>
    <row r="552" spans="1:14">
      <c r="A552" t="s">
        <v>661</v>
      </c>
      <c r="B552" t="s">
        <v>116</v>
      </c>
      <c r="C552" t="s">
        <v>23</v>
      </c>
      <c r="D552" t="s">
        <v>42</v>
      </c>
      <c r="E552" s="2">
        <v>11.41</v>
      </c>
      <c r="F552" s="2">
        <v>15.84</v>
      </c>
      <c r="G552" s="3">
        <v>478</v>
      </c>
      <c r="H552" s="3">
        <v>422</v>
      </c>
      <c r="I552" s="3">
        <v>56</v>
      </c>
      <c r="J552" s="3">
        <v>62</v>
      </c>
      <c r="K552" t="s">
        <v>15</v>
      </c>
      <c r="L552" s="2">
        <f t="shared" si="24"/>
        <v>4.43</v>
      </c>
      <c r="M552" s="2">
        <f t="shared" si="25"/>
        <v>6684.48</v>
      </c>
      <c r="N552" s="2">
        <f t="shared" si="26"/>
        <v>1869.4599999999998</v>
      </c>
    </row>
    <row r="553" spans="1:14">
      <c r="A553" t="s">
        <v>662</v>
      </c>
      <c r="B553" t="s">
        <v>179</v>
      </c>
      <c r="C553" t="s">
        <v>53</v>
      </c>
      <c r="D553" t="s">
        <v>24</v>
      </c>
      <c r="E553" s="2">
        <v>17.3</v>
      </c>
      <c r="F553" s="2">
        <v>29.07</v>
      </c>
      <c r="G553" s="3">
        <v>356</v>
      </c>
      <c r="H553" s="3">
        <v>302</v>
      </c>
      <c r="I553" s="3">
        <v>54</v>
      </c>
      <c r="J553" s="3">
        <v>49</v>
      </c>
      <c r="K553" t="s">
        <v>20</v>
      </c>
      <c r="L553" s="2">
        <f t="shared" si="24"/>
        <v>11.77</v>
      </c>
      <c r="M553" s="2">
        <f t="shared" si="25"/>
        <v>8779.14</v>
      </c>
      <c r="N553" s="2">
        <f t="shared" si="26"/>
        <v>3554.54</v>
      </c>
    </row>
    <row r="554" spans="1:14">
      <c r="A554" t="s">
        <v>663</v>
      </c>
      <c r="B554" t="s">
        <v>323</v>
      </c>
      <c r="C554" t="s">
        <v>27</v>
      </c>
      <c r="D554" t="s">
        <v>48</v>
      </c>
      <c r="E554" s="2">
        <v>2.83</v>
      </c>
      <c r="F554" s="2">
        <v>4.3</v>
      </c>
      <c r="G554" s="3">
        <v>170</v>
      </c>
      <c r="H554" s="3">
        <v>109</v>
      </c>
      <c r="I554" s="3">
        <v>61</v>
      </c>
      <c r="J554" s="3">
        <v>37</v>
      </c>
      <c r="K554" t="s">
        <v>20</v>
      </c>
      <c r="L554" s="2">
        <f t="shared" si="24"/>
        <v>1.4699999999999998</v>
      </c>
      <c r="M554" s="2">
        <f t="shared" si="25"/>
        <v>468.7</v>
      </c>
      <c r="N554" s="2">
        <f t="shared" si="26"/>
        <v>160.22999999999996</v>
      </c>
    </row>
    <row r="555" spans="1:14">
      <c r="A555" t="s">
        <v>664</v>
      </c>
      <c r="B555" t="s">
        <v>58</v>
      </c>
      <c r="C555" t="s">
        <v>18</v>
      </c>
      <c r="D555" t="s">
        <v>19</v>
      </c>
      <c r="E555" s="2">
        <v>6.02</v>
      </c>
      <c r="F555" s="2">
        <v>9.1199999999999992</v>
      </c>
      <c r="G555" s="3">
        <v>62</v>
      </c>
      <c r="H555" s="3">
        <v>40</v>
      </c>
      <c r="I555" s="3">
        <v>22</v>
      </c>
      <c r="J555" s="3">
        <v>15</v>
      </c>
      <c r="K555" t="s">
        <v>20</v>
      </c>
      <c r="L555" s="2">
        <f t="shared" si="24"/>
        <v>3.0999999999999996</v>
      </c>
      <c r="M555" s="2">
        <f t="shared" si="25"/>
        <v>364.79999999999995</v>
      </c>
      <c r="N555" s="2">
        <f t="shared" si="26"/>
        <v>123.99999999999999</v>
      </c>
    </row>
    <row r="556" spans="1:14">
      <c r="A556" t="s">
        <v>665</v>
      </c>
      <c r="B556" t="s">
        <v>22</v>
      </c>
      <c r="C556" t="s">
        <v>23</v>
      </c>
      <c r="D556" t="s">
        <v>77</v>
      </c>
      <c r="E556" s="2">
        <v>14.73</v>
      </c>
      <c r="F556" s="2">
        <v>22.35</v>
      </c>
      <c r="G556" s="3">
        <v>471</v>
      </c>
      <c r="H556" s="3">
        <v>254</v>
      </c>
      <c r="I556" s="3">
        <v>217</v>
      </c>
      <c r="J556" s="3">
        <v>104</v>
      </c>
      <c r="K556" t="s">
        <v>20</v>
      </c>
      <c r="L556" s="2">
        <f t="shared" si="24"/>
        <v>7.620000000000001</v>
      </c>
      <c r="M556" s="2">
        <f t="shared" si="25"/>
        <v>5676.9000000000005</v>
      </c>
      <c r="N556" s="2">
        <f t="shared" si="26"/>
        <v>1935.4800000000002</v>
      </c>
    </row>
    <row r="557" spans="1:14">
      <c r="A557" t="s">
        <v>666</v>
      </c>
      <c r="B557" t="s">
        <v>237</v>
      </c>
      <c r="C557" t="s">
        <v>47</v>
      </c>
      <c r="D557" t="s">
        <v>42</v>
      </c>
      <c r="E557" s="2">
        <v>3.33</v>
      </c>
      <c r="F557" s="2">
        <v>5.97</v>
      </c>
      <c r="G557" s="3">
        <v>109</v>
      </c>
      <c r="H557" s="3">
        <v>21</v>
      </c>
      <c r="I557" s="3">
        <v>88</v>
      </c>
      <c r="J557" s="3">
        <v>22</v>
      </c>
      <c r="K557" t="s">
        <v>20</v>
      </c>
      <c r="L557" s="2">
        <f t="shared" si="24"/>
        <v>2.6399999999999997</v>
      </c>
      <c r="M557" s="2">
        <f t="shared" si="25"/>
        <v>125.36999999999999</v>
      </c>
      <c r="N557" s="2">
        <f t="shared" si="26"/>
        <v>55.439999999999991</v>
      </c>
    </row>
    <row r="558" spans="1:14">
      <c r="A558" t="s">
        <v>667</v>
      </c>
      <c r="B558" t="s">
        <v>83</v>
      </c>
      <c r="C558" t="s">
        <v>47</v>
      </c>
      <c r="D558" t="s">
        <v>54</v>
      </c>
      <c r="E558" s="2">
        <v>1.08</v>
      </c>
      <c r="F558" s="2">
        <v>1.91</v>
      </c>
      <c r="G558" s="3">
        <v>207</v>
      </c>
      <c r="H558" s="3">
        <v>133</v>
      </c>
      <c r="I558" s="3">
        <v>74</v>
      </c>
      <c r="J558" s="3">
        <v>25</v>
      </c>
      <c r="K558" t="s">
        <v>20</v>
      </c>
      <c r="L558" s="2">
        <f t="shared" si="24"/>
        <v>0.82999999999999985</v>
      </c>
      <c r="M558" s="2">
        <f t="shared" si="25"/>
        <v>254.03</v>
      </c>
      <c r="N558" s="2">
        <f t="shared" si="26"/>
        <v>110.38999999999999</v>
      </c>
    </row>
    <row r="559" spans="1:14">
      <c r="A559" t="s">
        <v>668</v>
      </c>
      <c r="B559" t="s">
        <v>94</v>
      </c>
      <c r="C559" t="s">
        <v>33</v>
      </c>
      <c r="D559" t="s">
        <v>54</v>
      </c>
      <c r="E559" s="2">
        <v>2.52</v>
      </c>
      <c r="F559" s="2">
        <v>4.3499999999999996</v>
      </c>
      <c r="G559" s="3">
        <v>148</v>
      </c>
      <c r="H559" s="3">
        <v>68</v>
      </c>
      <c r="I559" s="3">
        <v>80</v>
      </c>
      <c r="J559" s="3">
        <v>24</v>
      </c>
      <c r="K559" t="s">
        <v>20</v>
      </c>
      <c r="L559" s="2">
        <f t="shared" si="24"/>
        <v>1.8299999999999996</v>
      </c>
      <c r="M559" s="2">
        <f t="shared" si="25"/>
        <v>295.79999999999995</v>
      </c>
      <c r="N559" s="2">
        <f t="shared" si="26"/>
        <v>124.43999999999997</v>
      </c>
    </row>
    <row r="560" spans="1:14">
      <c r="A560" t="s">
        <v>669</v>
      </c>
      <c r="B560" t="s">
        <v>164</v>
      </c>
      <c r="C560" t="s">
        <v>18</v>
      </c>
      <c r="D560" t="s">
        <v>28</v>
      </c>
      <c r="E560" s="2">
        <v>13.63</v>
      </c>
      <c r="F560" s="2">
        <v>29.41</v>
      </c>
      <c r="G560" s="3">
        <v>339</v>
      </c>
      <c r="H560" s="3">
        <v>183</v>
      </c>
      <c r="I560" s="3">
        <v>156</v>
      </c>
      <c r="J560" s="3">
        <v>62</v>
      </c>
      <c r="K560" t="s">
        <v>20</v>
      </c>
      <c r="L560" s="2">
        <f t="shared" si="24"/>
        <v>15.78</v>
      </c>
      <c r="M560" s="2">
        <f t="shared" si="25"/>
        <v>5382.03</v>
      </c>
      <c r="N560" s="2">
        <f t="shared" si="26"/>
        <v>2887.74</v>
      </c>
    </row>
    <row r="561" spans="1:14">
      <c r="A561" t="s">
        <v>670</v>
      </c>
      <c r="B561" t="s">
        <v>30</v>
      </c>
      <c r="C561" t="s">
        <v>13</v>
      </c>
      <c r="D561" t="s">
        <v>28</v>
      </c>
      <c r="E561" s="2">
        <v>16.5</v>
      </c>
      <c r="F561" s="2">
        <v>25</v>
      </c>
      <c r="G561" s="3">
        <v>303</v>
      </c>
      <c r="H561" s="3">
        <v>62</v>
      </c>
      <c r="I561" s="3">
        <v>241</v>
      </c>
      <c r="J561" s="3">
        <v>65</v>
      </c>
      <c r="K561" t="s">
        <v>20</v>
      </c>
      <c r="L561" s="2">
        <f t="shared" si="24"/>
        <v>8.5</v>
      </c>
      <c r="M561" s="2">
        <f t="shared" si="25"/>
        <v>1550</v>
      </c>
      <c r="N561" s="2">
        <f t="shared" si="26"/>
        <v>527</v>
      </c>
    </row>
    <row r="562" spans="1:14">
      <c r="A562" t="s">
        <v>671</v>
      </c>
      <c r="B562" t="s">
        <v>186</v>
      </c>
      <c r="C562" t="s">
        <v>13</v>
      </c>
      <c r="D562" t="s">
        <v>14</v>
      </c>
      <c r="E562" s="2">
        <v>14.91</v>
      </c>
      <c r="F562" s="2">
        <v>22.2</v>
      </c>
      <c r="G562" s="3">
        <v>162</v>
      </c>
      <c r="H562" s="3">
        <v>135</v>
      </c>
      <c r="I562" s="3">
        <v>27</v>
      </c>
      <c r="J562" s="3">
        <v>39</v>
      </c>
      <c r="K562" t="s">
        <v>15</v>
      </c>
      <c r="L562" s="2">
        <f t="shared" si="24"/>
        <v>7.2899999999999991</v>
      </c>
      <c r="M562" s="2">
        <f t="shared" si="25"/>
        <v>2997</v>
      </c>
      <c r="N562" s="2">
        <f t="shared" si="26"/>
        <v>984.14999999999986</v>
      </c>
    </row>
    <row r="563" spans="1:14">
      <c r="A563" t="s">
        <v>672</v>
      </c>
      <c r="B563" t="s">
        <v>116</v>
      </c>
      <c r="C563" t="s">
        <v>23</v>
      </c>
      <c r="D563" t="s">
        <v>54</v>
      </c>
      <c r="E563" s="2">
        <v>20.92</v>
      </c>
      <c r="F563" s="2">
        <v>36.799999999999997</v>
      </c>
      <c r="G563" s="3">
        <v>240</v>
      </c>
      <c r="H563" s="3">
        <v>192</v>
      </c>
      <c r="I563" s="3">
        <v>48</v>
      </c>
      <c r="J563" s="3">
        <v>32</v>
      </c>
      <c r="K563" t="s">
        <v>20</v>
      </c>
      <c r="L563" s="2">
        <f t="shared" si="24"/>
        <v>15.879999999999995</v>
      </c>
      <c r="M563" s="2">
        <f t="shared" si="25"/>
        <v>7065.5999999999995</v>
      </c>
      <c r="N563" s="2">
        <f t="shared" si="26"/>
        <v>3048.9599999999991</v>
      </c>
    </row>
    <row r="564" spans="1:14">
      <c r="A564" t="s">
        <v>673</v>
      </c>
      <c r="B564" t="s">
        <v>406</v>
      </c>
      <c r="C564" t="s">
        <v>18</v>
      </c>
      <c r="D564" t="s">
        <v>42</v>
      </c>
      <c r="E564" s="2">
        <v>16.14</v>
      </c>
      <c r="F564" s="2">
        <v>21.37</v>
      </c>
      <c r="G564" s="3">
        <v>204</v>
      </c>
      <c r="H564" s="3">
        <v>93</v>
      </c>
      <c r="I564" s="3">
        <v>111</v>
      </c>
      <c r="J564" s="3">
        <v>27</v>
      </c>
      <c r="K564" t="s">
        <v>20</v>
      </c>
      <c r="L564" s="2">
        <f t="shared" si="24"/>
        <v>5.23</v>
      </c>
      <c r="M564" s="2">
        <f t="shared" si="25"/>
        <v>1987.41</v>
      </c>
      <c r="N564" s="2">
        <f t="shared" si="26"/>
        <v>486.39000000000004</v>
      </c>
    </row>
    <row r="565" spans="1:14">
      <c r="A565" t="s">
        <v>674</v>
      </c>
      <c r="B565" t="s">
        <v>351</v>
      </c>
      <c r="C565" t="s">
        <v>47</v>
      </c>
      <c r="D565" t="s">
        <v>48</v>
      </c>
      <c r="E565" s="2">
        <v>3.46</v>
      </c>
      <c r="F565" s="2">
        <v>6.62</v>
      </c>
      <c r="G565" s="3">
        <v>160</v>
      </c>
      <c r="H565" s="3">
        <v>28</v>
      </c>
      <c r="I565" s="3">
        <v>132</v>
      </c>
      <c r="J565" s="3">
        <v>18</v>
      </c>
      <c r="K565" t="s">
        <v>20</v>
      </c>
      <c r="L565" s="2">
        <f t="shared" si="24"/>
        <v>3.16</v>
      </c>
      <c r="M565" s="2">
        <f t="shared" si="25"/>
        <v>185.36</v>
      </c>
      <c r="N565" s="2">
        <f t="shared" si="26"/>
        <v>88.48</v>
      </c>
    </row>
    <row r="566" spans="1:14">
      <c r="A566" t="s">
        <v>675</v>
      </c>
      <c r="B566" t="s">
        <v>222</v>
      </c>
      <c r="C566" t="s">
        <v>18</v>
      </c>
      <c r="D566" t="s">
        <v>54</v>
      </c>
      <c r="E566" s="2">
        <v>19.13</v>
      </c>
      <c r="F566" s="2">
        <v>34.11</v>
      </c>
      <c r="G566" s="3">
        <v>342</v>
      </c>
      <c r="H566" s="3">
        <v>259</v>
      </c>
      <c r="I566" s="3">
        <v>83</v>
      </c>
      <c r="J566" s="3">
        <v>69</v>
      </c>
      <c r="K566" t="s">
        <v>20</v>
      </c>
      <c r="L566" s="2">
        <f t="shared" si="24"/>
        <v>14.98</v>
      </c>
      <c r="M566" s="2">
        <f t="shared" si="25"/>
        <v>8834.49</v>
      </c>
      <c r="N566" s="2">
        <f t="shared" si="26"/>
        <v>3879.82</v>
      </c>
    </row>
    <row r="567" spans="1:14">
      <c r="A567" t="s">
        <v>676</v>
      </c>
      <c r="B567" t="s">
        <v>207</v>
      </c>
      <c r="C567" t="s">
        <v>88</v>
      </c>
      <c r="D567" t="s">
        <v>28</v>
      </c>
      <c r="E567" s="2">
        <v>77.45</v>
      </c>
      <c r="F567" s="2">
        <v>114.95</v>
      </c>
      <c r="G567" s="3">
        <v>346</v>
      </c>
      <c r="H567" s="3">
        <v>103</v>
      </c>
      <c r="I567" s="3">
        <v>243</v>
      </c>
      <c r="J567" s="3">
        <v>76</v>
      </c>
      <c r="K567" t="s">
        <v>20</v>
      </c>
      <c r="L567" s="2">
        <f t="shared" si="24"/>
        <v>37.5</v>
      </c>
      <c r="M567" s="2">
        <f t="shared" si="25"/>
        <v>11839.85</v>
      </c>
      <c r="N567" s="2">
        <f t="shared" si="26"/>
        <v>3862.5</v>
      </c>
    </row>
    <row r="568" spans="1:14">
      <c r="A568" t="s">
        <v>677</v>
      </c>
      <c r="B568" t="s">
        <v>104</v>
      </c>
      <c r="C568" t="s">
        <v>33</v>
      </c>
      <c r="D568" t="s">
        <v>14</v>
      </c>
      <c r="E568" s="2">
        <v>8.6300000000000008</v>
      </c>
      <c r="F568" s="2">
        <v>15.75</v>
      </c>
      <c r="G568" s="3">
        <v>314</v>
      </c>
      <c r="H568" s="3">
        <v>75</v>
      </c>
      <c r="I568" s="3">
        <v>239</v>
      </c>
      <c r="J568" s="3">
        <v>58</v>
      </c>
      <c r="K568" t="s">
        <v>20</v>
      </c>
      <c r="L568" s="2">
        <f t="shared" si="24"/>
        <v>7.1199999999999992</v>
      </c>
      <c r="M568" s="2">
        <f t="shared" si="25"/>
        <v>1181.25</v>
      </c>
      <c r="N568" s="2">
        <f t="shared" si="26"/>
        <v>533.99999999999989</v>
      </c>
    </row>
    <row r="569" spans="1:14">
      <c r="A569" t="s">
        <v>678</v>
      </c>
      <c r="B569" t="s">
        <v>175</v>
      </c>
      <c r="C569" t="s">
        <v>88</v>
      </c>
      <c r="D569" t="s">
        <v>77</v>
      </c>
      <c r="E569" s="2">
        <v>18.61</v>
      </c>
      <c r="F569" s="2">
        <v>39.14</v>
      </c>
      <c r="G569" s="3">
        <v>233</v>
      </c>
      <c r="H569" s="3">
        <v>48</v>
      </c>
      <c r="I569" s="3">
        <v>185</v>
      </c>
      <c r="J569" s="3">
        <v>45</v>
      </c>
      <c r="K569" t="s">
        <v>20</v>
      </c>
      <c r="L569" s="2">
        <f t="shared" si="24"/>
        <v>20.53</v>
      </c>
      <c r="M569" s="2">
        <f t="shared" si="25"/>
        <v>1878.72</v>
      </c>
      <c r="N569" s="2">
        <f t="shared" si="26"/>
        <v>985.44</v>
      </c>
    </row>
    <row r="570" spans="1:14">
      <c r="A570" t="s">
        <v>679</v>
      </c>
      <c r="B570" t="s">
        <v>144</v>
      </c>
      <c r="C570" t="s">
        <v>88</v>
      </c>
      <c r="D570" t="s">
        <v>48</v>
      </c>
      <c r="E570" s="2">
        <v>65.83</v>
      </c>
      <c r="F570" s="2">
        <v>87.36</v>
      </c>
      <c r="G570" s="3">
        <v>221</v>
      </c>
      <c r="H570" s="3">
        <v>77</v>
      </c>
      <c r="I570" s="3">
        <v>144</v>
      </c>
      <c r="J570" s="3">
        <v>46</v>
      </c>
      <c r="K570" t="s">
        <v>20</v>
      </c>
      <c r="L570" s="2">
        <f t="shared" si="24"/>
        <v>21.53</v>
      </c>
      <c r="M570" s="2">
        <f t="shared" si="25"/>
        <v>6726.72</v>
      </c>
      <c r="N570" s="2">
        <f t="shared" si="26"/>
        <v>1657.8100000000002</v>
      </c>
    </row>
    <row r="571" spans="1:14">
      <c r="A571" t="s">
        <v>680</v>
      </c>
      <c r="B571" t="s">
        <v>222</v>
      </c>
      <c r="C571" t="s">
        <v>18</v>
      </c>
      <c r="D571" t="s">
        <v>77</v>
      </c>
      <c r="E571" s="2">
        <v>7.04</v>
      </c>
      <c r="F571" s="2">
        <v>10.65</v>
      </c>
      <c r="G571" s="3">
        <v>360</v>
      </c>
      <c r="H571" s="3">
        <v>38</v>
      </c>
      <c r="I571" s="3">
        <v>322</v>
      </c>
      <c r="J571" s="3">
        <v>42</v>
      </c>
      <c r="K571" t="s">
        <v>20</v>
      </c>
      <c r="L571" s="2">
        <f t="shared" si="24"/>
        <v>3.6100000000000003</v>
      </c>
      <c r="M571" s="2">
        <f t="shared" si="25"/>
        <v>404.7</v>
      </c>
      <c r="N571" s="2">
        <f t="shared" si="26"/>
        <v>137.18</v>
      </c>
    </row>
    <row r="572" spans="1:14">
      <c r="A572" t="s">
        <v>681</v>
      </c>
      <c r="B572" t="s">
        <v>248</v>
      </c>
      <c r="C572" t="s">
        <v>27</v>
      </c>
      <c r="D572" t="s">
        <v>77</v>
      </c>
      <c r="E572" s="2">
        <v>18.62</v>
      </c>
      <c r="F572" s="2">
        <v>25.44</v>
      </c>
      <c r="G572" s="3">
        <v>86</v>
      </c>
      <c r="H572" s="3">
        <v>19</v>
      </c>
      <c r="I572" s="3">
        <v>67</v>
      </c>
      <c r="J572" s="3">
        <v>10</v>
      </c>
      <c r="K572" t="s">
        <v>20</v>
      </c>
      <c r="L572" s="2">
        <f t="shared" si="24"/>
        <v>6.82</v>
      </c>
      <c r="M572" s="2">
        <f t="shared" si="25"/>
        <v>483.36</v>
      </c>
      <c r="N572" s="2">
        <f t="shared" si="26"/>
        <v>129.58000000000001</v>
      </c>
    </row>
    <row r="573" spans="1:14">
      <c r="A573" t="s">
        <v>682</v>
      </c>
      <c r="B573" t="s">
        <v>126</v>
      </c>
      <c r="C573" t="s">
        <v>23</v>
      </c>
      <c r="D573" t="s">
        <v>77</v>
      </c>
      <c r="E573" s="2">
        <v>15.46</v>
      </c>
      <c r="F573" s="2">
        <v>30.06</v>
      </c>
      <c r="G573" s="3">
        <v>480</v>
      </c>
      <c r="H573" s="3">
        <v>171</v>
      </c>
      <c r="I573" s="3">
        <v>309</v>
      </c>
      <c r="J573" s="3">
        <v>102</v>
      </c>
      <c r="K573" t="s">
        <v>20</v>
      </c>
      <c r="L573" s="2">
        <f t="shared" si="24"/>
        <v>14.599999999999998</v>
      </c>
      <c r="M573" s="2">
        <f t="shared" si="25"/>
        <v>5140.26</v>
      </c>
      <c r="N573" s="2">
        <f t="shared" si="26"/>
        <v>2496.5999999999995</v>
      </c>
    </row>
    <row r="574" spans="1:14">
      <c r="A574" t="s">
        <v>683</v>
      </c>
      <c r="B574" t="s">
        <v>169</v>
      </c>
      <c r="C574" t="s">
        <v>53</v>
      </c>
      <c r="D574" t="s">
        <v>48</v>
      </c>
      <c r="E574" s="2">
        <v>34.450000000000003</v>
      </c>
      <c r="F574" s="2">
        <v>62</v>
      </c>
      <c r="G574" s="3">
        <v>358</v>
      </c>
      <c r="H574" s="3">
        <v>276</v>
      </c>
      <c r="I574" s="3">
        <v>82</v>
      </c>
      <c r="J574" s="3">
        <v>57</v>
      </c>
      <c r="K574" t="s">
        <v>20</v>
      </c>
      <c r="L574" s="2">
        <f t="shared" si="24"/>
        <v>27.549999999999997</v>
      </c>
      <c r="M574" s="2">
        <f t="shared" si="25"/>
        <v>17112</v>
      </c>
      <c r="N574" s="2">
        <f t="shared" si="26"/>
        <v>7603.7999999999993</v>
      </c>
    </row>
    <row r="575" spans="1:14">
      <c r="A575" t="s">
        <v>684</v>
      </c>
      <c r="B575" t="s">
        <v>190</v>
      </c>
      <c r="C575" t="s">
        <v>18</v>
      </c>
      <c r="D575" t="s">
        <v>42</v>
      </c>
      <c r="E575" s="2">
        <v>16.059999999999999</v>
      </c>
      <c r="F575" s="2">
        <v>22.52</v>
      </c>
      <c r="G575" s="3">
        <v>66</v>
      </c>
      <c r="H575" s="3">
        <v>31</v>
      </c>
      <c r="I575" s="3">
        <v>35</v>
      </c>
      <c r="J575" s="3">
        <v>11</v>
      </c>
      <c r="K575" t="s">
        <v>20</v>
      </c>
      <c r="L575" s="2">
        <f t="shared" si="24"/>
        <v>6.4600000000000009</v>
      </c>
      <c r="M575" s="2">
        <f t="shared" si="25"/>
        <v>698.12</v>
      </c>
      <c r="N575" s="2">
        <f t="shared" si="26"/>
        <v>200.26000000000002</v>
      </c>
    </row>
    <row r="576" spans="1:14">
      <c r="A576" t="s">
        <v>685</v>
      </c>
      <c r="B576" t="s">
        <v>74</v>
      </c>
      <c r="C576" t="s">
        <v>23</v>
      </c>
      <c r="D576" t="s">
        <v>48</v>
      </c>
      <c r="E576" s="2">
        <v>22.36</v>
      </c>
      <c r="F576" s="2">
        <v>34.6</v>
      </c>
      <c r="G576" s="3">
        <v>25</v>
      </c>
      <c r="H576" s="3">
        <v>6</v>
      </c>
      <c r="I576" s="3">
        <v>19</v>
      </c>
      <c r="J576" s="3">
        <v>4</v>
      </c>
      <c r="K576" t="s">
        <v>20</v>
      </c>
      <c r="L576" s="2">
        <f t="shared" si="24"/>
        <v>12.240000000000002</v>
      </c>
      <c r="M576" s="2">
        <f t="shared" si="25"/>
        <v>207.60000000000002</v>
      </c>
      <c r="N576" s="2">
        <f t="shared" si="26"/>
        <v>73.440000000000012</v>
      </c>
    </row>
    <row r="577" spans="1:14">
      <c r="A577" t="s">
        <v>686</v>
      </c>
      <c r="B577" t="s">
        <v>83</v>
      </c>
      <c r="C577" t="s">
        <v>47</v>
      </c>
      <c r="D577" t="s">
        <v>48</v>
      </c>
      <c r="E577" s="2">
        <v>9.69</v>
      </c>
      <c r="F577" s="2">
        <v>19.79</v>
      </c>
      <c r="G577" s="3">
        <v>268</v>
      </c>
      <c r="H577" s="3">
        <v>174</v>
      </c>
      <c r="I577" s="3">
        <v>94</v>
      </c>
      <c r="J577" s="3">
        <v>36</v>
      </c>
      <c r="K577" t="s">
        <v>20</v>
      </c>
      <c r="L577" s="2">
        <f t="shared" si="24"/>
        <v>10.1</v>
      </c>
      <c r="M577" s="2">
        <f t="shared" si="25"/>
        <v>3443.46</v>
      </c>
      <c r="N577" s="2">
        <f t="shared" si="26"/>
        <v>1757.3999999999999</v>
      </c>
    </row>
    <row r="578" spans="1:14">
      <c r="A578" t="s">
        <v>687</v>
      </c>
      <c r="B578" t="s">
        <v>81</v>
      </c>
      <c r="C578" t="s">
        <v>47</v>
      </c>
      <c r="D578" t="s">
        <v>77</v>
      </c>
      <c r="E578" s="2">
        <v>0.95</v>
      </c>
      <c r="F578" s="2">
        <v>1.49</v>
      </c>
      <c r="G578" s="3">
        <v>483</v>
      </c>
      <c r="H578" s="3">
        <v>87</v>
      </c>
      <c r="I578" s="3">
        <v>396</v>
      </c>
      <c r="J578" s="3">
        <v>108</v>
      </c>
      <c r="K578" t="s">
        <v>20</v>
      </c>
      <c r="L578" s="2">
        <f t="shared" si="24"/>
        <v>0.54</v>
      </c>
      <c r="M578" s="2">
        <f t="shared" si="25"/>
        <v>129.63</v>
      </c>
      <c r="N578" s="2">
        <f t="shared" si="26"/>
        <v>46.980000000000004</v>
      </c>
    </row>
    <row r="579" spans="1:14">
      <c r="A579" t="s">
        <v>688</v>
      </c>
      <c r="B579" t="s">
        <v>351</v>
      </c>
      <c r="C579" t="s">
        <v>47</v>
      </c>
      <c r="D579" t="s">
        <v>42</v>
      </c>
      <c r="E579" s="2">
        <v>6.89</v>
      </c>
      <c r="F579" s="2">
        <v>10.029999999999999</v>
      </c>
      <c r="G579" s="3">
        <v>94</v>
      </c>
      <c r="H579" s="3">
        <v>71</v>
      </c>
      <c r="I579" s="3">
        <v>23</v>
      </c>
      <c r="J579" s="3">
        <v>17</v>
      </c>
      <c r="K579" t="s">
        <v>20</v>
      </c>
      <c r="L579" s="2">
        <f t="shared" ref="L579:L642" si="27">F579-E579</f>
        <v>3.1399999999999997</v>
      </c>
      <c r="M579" s="2">
        <f t="shared" ref="M579:M642" si="28">H579*F579</f>
        <v>712.13</v>
      </c>
      <c r="N579" s="2">
        <f t="shared" ref="N579:N642" si="29">H579*L579</f>
        <v>222.93999999999997</v>
      </c>
    </row>
    <row r="580" spans="1:14">
      <c r="A580" t="s">
        <v>689</v>
      </c>
      <c r="B580" t="s">
        <v>144</v>
      </c>
      <c r="C580" t="s">
        <v>88</v>
      </c>
      <c r="D580" t="s">
        <v>24</v>
      </c>
      <c r="E580" s="2">
        <v>67.91</v>
      </c>
      <c r="F580" s="2">
        <v>106.24</v>
      </c>
      <c r="G580" s="3">
        <v>284</v>
      </c>
      <c r="H580" s="3">
        <v>189</v>
      </c>
      <c r="I580" s="3">
        <v>95</v>
      </c>
      <c r="J580" s="3">
        <v>59</v>
      </c>
      <c r="K580" t="s">
        <v>20</v>
      </c>
      <c r="L580" s="2">
        <f t="shared" si="27"/>
        <v>38.33</v>
      </c>
      <c r="M580" s="2">
        <f t="shared" si="28"/>
        <v>20079.36</v>
      </c>
      <c r="N580" s="2">
        <f t="shared" si="29"/>
        <v>7244.37</v>
      </c>
    </row>
    <row r="581" spans="1:14">
      <c r="A581" t="s">
        <v>690</v>
      </c>
      <c r="B581" t="s">
        <v>406</v>
      </c>
      <c r="C581" t="s">
        <v>18</v>
      </c>
      <c r="D581" t="s">
        <v>28</v>
      </c>
      <c r="E581" s="2">
        <v>13.64</v>
      </c>
      <c r="F581" s="2">
        <v>26.56</v>
      </c>
      <c r="G581" s="3">
        <v>289</v>
      </c>
      <c r="H581" s="3">
        <v>61</v>
      </c>
      <c r="I581" s="3">
        <v>228</v>
      </c>
      <c r="J581" s="3">
        <v>38</v>
      </c>
      <c r="K581" t="s">
        <v>20</v>
      </c>
      <c r="L581" s="2">
        <f t="shared" si="27"/>
        <v>12.919999999999998</v>
      </c>
      <c r="M581" s="2">
        <f t="shared" si="28"/>
        <v>1620.1599999999999</v>
      </c>
      <c r="N581" s="2">
        <f t="shared" si="29"/>
        <v>788.11999999999989</v>
      </c>
    </row>
    <row r="582" spans="1:14">
      <c r="A582" t="s">
        <v>691</v>
      </c>
      <c r="B582" t="s">
        <v>44</v>
      </c>
      <c r="C582" t="s">
        <v>13</v>
      </c>
      <c r="D582" t="s">
        <v>100</v>
      </c>
      <c r="E582" s="2">
        <v>7.02</v>
      </c>
      <c r="F582" s="2">
        <v>14.15</v>
      </c>
      <c r="G582" s="3">
        <v>450</v>
      </c>
      <c r="H582" s="3">
        <v>230</v>
      </c>
      <c r="I582" s="3">
        <v>220</v>
      </c>
      <c r="J582" s="3">
        <v>52</v>
      </c>
      <c r="K582" t="s">
        <v>20</v>
      </c>
      <c r="L582" s="2">
        <f t="shared" si="27"/>
        <v>7.1300000000000008</v>
      </c>
      <c r="M582" s="2">
        <f t="shared" si="28"/>
        <v>3254.5</v>
      </c>
      <c r="N582" s="2">
        <f t="shared" si="29"/>
        <v>1639.9</v>
      </c>
    </row>
    <row r="583" spans="1:14">
      <c r="A583" t="s">
        <v>692</v>
      </c>
      <c r="B583" t="s">
        <v>156</v>
      </c>
      <c r="C583" t="s">
        <v>47</v>
      </c>
      <c r="D583" t="s">
        <v>100</v>
      </c>
      <c r="E583" s="2">
        <v>7.07</v>
      </c>
      <c r="F583" s="2">
        <v>12.87</v>
      </c>
      <c r="G583" s="3">
        <v>481</v>
      </c>
      <c r="H583" s="3">
        <v>146</v>
      </c>
      <c r="I583" s="3">
        <v>335</v>
      </c>
      <c r="J583" s="3">
        <v>88</v>
      </c>
      <c r="K583" t="s">
        <v>20</v>
      </c>
      <c r="L583" s="2">
        <f t="shared" si="27"/>
        <v>5.7999999999999989</v>
      </c>
      <c r="M583" s="2">
        <f t="shared" si="28"/>
        <v>1879.02</v>
      </c>
      <c r="N583" s="2">
        <f t="shared" si="29"/>
        <v>846.79999999999984</v>
      </c>
    </row>
    <row r="584" spans="1:14">
      <c r="A584" t="s">
        <v>693</v>
      </c>
      <c r="B584" t="s">
        <v>164</v>
      </c>
      <c r="C584" t="s">
        <v>18</v>
      </c>
      <c r="D584" t="s">
        <v>19</v>
      </c>
      <c r="E584" s="2">
        <v>17.54</v>
      </c>
      <c r="F584" s="2">
        <v>31.71</v>
      </c>
      <c r="G584" s="3">
        <v>180</v>
      </c>
      <c r="H584" s="3">
        <v>58</v>
      </c>
      <c r="I584" s="3">
        <v>122</v>
      </c>
      <c r="J584" s="3">
        <v>29</v>
      </c>
      <c r="K584" t="s">
        <v>20</v>
      </c>
      <c r="L584" s="2">
        <f t="shared" si="27"/>
        <v>14.170000000000002</v>
      </c>
      <c r="M584" s="2">
        <f t="shared" si="28"/>
        <v>1839.18</v>
      </c>
      <c r="N584" s="2">
        <f t="shared" si="29"/>
        <v>821.86000000000013</v>
      </c>
    </row>
    <row r="585" spans="1:14">
      <c r="A585" t="s">
        <v>694</v>
      </c>
      <c r="B585" t="s">
        <v>147</v>
      </c>
      <c r="C585" t="s">
        <v>33</v>
      </c>
      <c r="D585" t="s">
        <v>54</v>
      </c>
      <c r="E585" s="2">
        <v>3.3</v>
      </c>
      <c r="F585" s="2">
        <v>6.45</v>
      </c>
      <c r="G585" s="3">
        <v>167</v>
      </c>
      <c r="H585" s="3">
        <v>115</v>
      </c>
      <c r="I585" s="3">
        <v>52</v>
      </c>
      <c r="J585" s="3">
        <v>23</v>
      </c>
      <c r="K585" t="s">
        <v>20</v>
      </c>
      <c r="L585" s="2">
        <f t="shared" si="27"/>
        <v>3.1500000000000004</v>
      </c>
      <c r="M585" s="2">
        <f t="shared" si="28"/>
        <v>741.75</v>
      </c>
      <c r="N585" s="2">
        <f t="shared" si="29"/>
        <v>362.25000000000006</v>
      </c>
    </row>
    <row r="586" spans="1:14">
      <c r="A586" t="s">
        <v>695</v>
      </c>
      <c r="B586" t="s">
        <v>26</v>
      </c>
      <c r="C586" t="s">
        <v>27</v>
      </c>
      <c r="D586" t="s">
        <v>28</v>
      </c>
      <c r="E586" s="2">
        <v>8.59</v>
      </c>
      <c r="F586" s="2">
        <v>17.96</v>
      </c>
      <c r="G586" s="3">
        <v>243</v>
      </c>
      <c r="H586" s="3">
        <v>166</v>
      </c>
      <c r="I586" s="3">
        <v>77</v>
      </c>
      <c r="J586" s="3">
        <v>31</v>
      </c>
      <c r="K586" t="s">
        <v>20</v>
      </c>
      <c r="L586" s="2">
        <f t="shared" si="27"/>
        <v>9.370000000000001</v>
      </c>
      <c r="M586" s="2">
        <f t="shared" si="28"/>
        <v>2981.36</v>
      </c>
      <c r="N586" s="2">
        <f t="shared" si="29"/>
        <v>1555.42</v>
      </c>
    </row>
    <row r="587" spans="1:14">
      <c r="A587" t="s">
        <v>696</v>
      </c>
      <c r="B587" t="s">
        <v>76</v>
      </c>
      <c r="C587" t="s">
        <v>27</v>
      </c>
      <c r="D587" t="s">
        <v>19</v>
      </c>
      <c r="E587" s="2">
        <v>5.69</v>
      </c>
      <c r="F587" s="2">
        <v>9.0500000000000007</v>
      </c>
      <c r="G587" s="3">
        <v>191</v>
      </c>
      <c r="H587" s="3">
        <v>177</v>
      </c>
      <c r="I587" s="3">
        <v>14</v>
      </c>
      <c r="J587" s="3">
        <v>44</v>
      </c>
      <c r="K587" t="s">
        <v>15</v>
      </c>
      <c r="L587" s="2">
        <f t="shared" si="27"/>
        <v>3.3600000000000003</v>
      </c>
      <c r="M587" s="2">
        <f t="shared" si="28"/>
        <v>1601.8500000000001</v>
      </c>
      <c r="N587" s="2">
        <f t="shared" si="29"/>
        <v>594.72</v>
      </c>
    </row>
    <row r="588" spans="1:14">
      <c r="A588" t="s">
        <v>697</v>
      </c>
      <c r="B588" t="s">
        <v>167</v>
      </c>
      <c r="C588" t="s">
        <v>88</v>
      </c>
      <c r="D588" t="s">
        <v>24</v>
      </c>
      <c r="E588" s="2">
        <v>72.36</v>
      </c>
      <c r="F588" s="2">
        <v>149.33000000000001</v>
      </c>
      <c r="G588" s="3">
        <v>122</v>
      </c>
      <c r="H588" s="3">
        <v>34</v>
      </c>
      <c r="I588" s="3">
        <v>88</v>
      </c>
      <c r="J588" s="3">
        <v>22</v>
      </c>
      <c r="K588" t="s">
        <v>20</v>
      </c>
      <c r="L588" s="2">
        <f t="shared" si="27"/>
        <v>76.970000000000013</v>
      </c>
      <c r="M588" s="2">
        <f t="shared" si="28"/>
        <v>5077.22</v>
      </c>
      <c r="N588" s="2">
        <f t="shared" si="29"/>
        <v>2616.9800000000005</v>
      </c>
    </row>
    <row r="589" spans="1:14">
      <c r="A589" t="s">
        <v>698</v>
      </c>
      <c r="B589" t="s">
        <v>12</v>
      </c>
      <c r="C589" t="s">
        <v>13</v>
      </c>
      <c r="D589" t="s">
        <v>77</v>
      </c>
      <c r="E589" s="2">
        <v>27.67</v>
      </c>
      <c r="F589" s="2">
        <v>36.18</v>
      </c>
      <c r="G589" s="3">
        <v>369</v>
      </c>
      <c r="H589" s="3">
        <v>106</v>
      </c>
      <c r="I589" s="3">
        <v>263</v>
      </c>
      <c r="J589" s="3">
        <v>53</v>
      </c>
      <c r="K589" t="s">
        <v>20</v>
      </c>
      <c r="L589" s="2">
        <f t="shared" si="27"/>
        <v>8.509999999999998</v>
      </c>
      <c r="M589" s="2">
        <f t="shared" si="28"/>
        <v>3835.08</v>
      </c>
      <c r="N589" s="2">
        <f t="shared" si="29"/>
        <v>902.05999999999983</v>
      </c>
    </row>
    <row r="590" spans="1:14">
      <c r="A590" t="s">
        <v>699</v>
      </c>
      <c r="B590" t="s">
        <v>92</v>
      </c>
      <c r="C590" t="s">
        <v>27</v>
      </c>
      <c r="D590" t="s">
        <v>54</v>
      </c>
      <c r="E590" s="2">
        <v>21.58</v>
      </c>
      <c r="F590" s="2">
        <v>42.24</v>
      </c>
      <c r="G590" s="3">
        <v>452</v>
      </c>
      <c r="H590" s="3">
        <v>390</v>
      </c>
      <c r="I590" s="3">
        <v>62</v>
      </c>
      <c r="J590" s="3">
        <v>106</v>
      </c>
      <c r="K590" t="s">
        <v>15</v>
      </c>
      <c r="L590" s="2">
        <f t="shared" si="27"/>
        <v>20.660000000000004</v>
      </c>
      <c r="M590" s="2">
        <f t="shared" si="28"/>
        <v>16473.600000000002</v>
      </c>
      <c r="N590" s="2">
        <f t="shared" si="29"/>
        <v>8057.4000000000015</v>
      </c>
    </row>
    <row r="591" spans="1:14">
      <c r="A591" t="s">
        <v>700</v>
      </c>
      <c r="B591" t="s">
        <v>87</v>
      </c>
      <c r="C591" t="s">
        <v>88</v>
      </c>
      <c r="D591" t="s">
        <v>42</v>
      </c>
      <c r="E591" s="2">
        <v>5.68</v>
      </c>
      <c r="F591" s="2">
        <v>8.5500000000000007</v>
      </c>
      <c r="G591" s="3">
        <v>479</v>
      </c>
      <c r="H591" s="3">
        <v>85</v>
      </c>
      <c r="I591" s="3">
        <v>394</v>
      </c>
      <c r="J591" s="3">
        <v>78</v>
      </c>
      <c r="K591" t="s">
        <v>20</v>
      </c>
      <c r="L591" s="2">
        <f t="shared" si="27"/>
        <v>2.870000000000001</v>
      </c>
      <c r="M591" s="2">
        <f t="shared" si="28"/>
        <v>726.75000000000011</v>
      </c>
      <c r="N591" s="2">
        <f t="shared" si="29"/>
        <v>243.95000000000007</v>
      </c>
    </row>
    <row r="592" spans="1:14">
      <c r="A592" t="s">
        <v>701</v>
      </c>
      <c r="B592" t="s">
        <v>85</v>
      </c>
      <c r="C592" t="s">
        <v>27</v>
      </c>
      <c r="D592" t="s">
        <v>19</v>
      </c>
      <c r="E592" s="2">
        <v>13.59</v>
      </c>
      <c r="F592" s="2">
        <v>20.57</v>
      </c>
      <c r="G592" s="3">
        <v>164</v>
      </c>
      <c r="H592" s="3">
        <v>42</v>
      </c>
      <c r="I592" s="3">
        <v>122</v>
      </c>
      <c r="J592" s="3">
        <v>22</v>
      </c>
      <c r="K592" t="s">
        <v>20</v>
      </c>
      <c r="L592" s="2">
        <f t="shared" si="27"/>
        <v>6.98</v>
      </c>
      <c r="M592" s="2">
        <f t="shared" si="28"/>
        <v>863.94</v>
      </c>
      <c r="N592" s="2">
        <f t="shared" si="29"/>
        <v>293.16000000000003</v>
      </c>
    </row>
    <row r="593" spans="1:14">
      <c r="A593" t="s">
        <v>702</v>
      </c>
      <c r="B593" t="s">
        <v>114</v>
      </c>
      <c r="C593" t="s">
        <v>53</v>
      </c>
      <c r="D593" t="s">
        <v>39</v>
      </c>
      <c r="E593" s="2">
        <v>21.98</v>
      </c>
      <c r="F593" s="2">
        <v>39.36</v>
      </c>
      <c r="G593" s="3">
        <v>292</v>
      </c>
      <c r="H593" s="3">
        <v>164</v>
      </c>
      <c r="I593" s="3">
        <v>128</v>
      </c>
      <c r="J593" s="3">
        <v>57</v>
      </c>
      <c r="K593" t="s">
        <v>20</v>
      </c>
      <c r="L593" s="2">
        <f t="shared" si="27"/>
        <v>17.38</v>
      </c>
      <c r="M593" s="2">
        <f t="shared" si="28"/>
        <v>6455.04</v>
      </c>
      <c r="N593" s="2">
        <f t="shared" si="29"/>
        <v>2850.3199999999997</v>
      </c>
    </row>
    <row r="594" spans="1:14">
      <c r="A594" t="s">
        <v>703</v>
      </c>
      <c r="B594" t="s">
        <v>299</v>
      </c>
      <c r="C594" t="s">
        <v>13</v>
      </c>
      <c r="D594" t="s">
        <v>24</v>
      </c>
      <c r="E594" s="2">
        <v>2.38</v>
      </c>
      <c r="F594" s="2">
        <v>4.92</v>
      </c>
      <c r="G594" s="3">
        <v>357</v>
      </c>
      <c r="H594" s="3">
        <v>262</v>
      </c>
      <c r="I594" s="3">
        <v>95</v>
      </c>
      <c r="J594" s="3">
        <v>88</v>
      </c>
      <c r="K594" t="s">
        <v>20</v>
      </c>
      <c r="L594" s="2">
        <f t="shared" si="27"/>
        <v>2.54</v>
      </c>
      <c r="M594" s="2">
        <f t="shared" si="28"/>
        <v>1289.04</v>
      </c>
      <c r="N594" s="2">
        <f t="shared" si="29"/>
        <v>665.48</v>
      </c>
    </row>
    <row r="595" spans="1:14">
      <c r="A595" t="s">
        <v>704</v>
      </c>
      <c r="B595" t="s">
        <v>186</v>
      </c>
      <c r="C595" t="s">
        <v>13</v>
      </c>
      <c r="D595" t="s">
        <v>28</v>
      </c>
      <c r="E595" s="2">
        <v>21.28</v>
      </c>
      <c r="F595" s="2">
        <v>45.74</v>
      </c>
      <c r="G595" s="3">
        <v>83</v>
      </c>
      <c r="H595" s="3">
        <v>54</v>
      </c>
      <c r="I595" s="3">
        <v>29</v>
      </c>
      <c r="J595" s="3">
        <v>14</v>
      </c>
      <c r="K595" t="s">
        <v>20</v>
      </c>
      <c r="L595" s="2">
        <f t="shared" si="27"/>
        <v>24.46</v>
      </c>
      <c r="M595" s="2">
        <f t="shared" si="28"/>
        <v>2469.96</v>
      </c>
      <c r="N595" s="2">
        <f t="shared" si="29"/>
        <v>1320.8400000000001</v>
      </c>
    </row>
    <row r="596" spans="1:14">
      <c r="A596" t="s">
        <v>705</v>
      </c>
      <c r="B596" t="s">
        <v>406</v>
      </c>
      <c r="C596" t="s">
        <v>18</v>
      </c>
      <c r="D596" t="s">
        <v>42</v>
      </c>
      <c r="E596" s="2">
        <v>17.899999999999999</v>
      </c>
      <c r="F596" s="2">
        <v>25.67</v>
      </c>
      <c r="G596" s="3">
        <v>487</v>
      </c>
      <c r="H596" s="3">
        <v>165</v>
      </c>
      <c r="I596" s="3">
        <v>322</v>
      </c>
      <c r="J596" s="3">
        <v>76</v>
      </c>
      <c r="K596" t="s">
        <v>20</v>
      </c>
      <c r="L596" s="2">
        <f t="shared" si="27"/>
        <v>7.7700000000000031</v>
      </c>
      <c r="M596" s="2">
        <f t="shared" si="28"/>
        <v>4235.55</v>
      </c>
      <c r="N596" s="2">
        <f t="shared" si="29"/>
        <v>1282.0500000000004</v>
      </c>
    </row>
    <row r="597" spans="1:14">
      <c r="A597" t="s">
        <v>706</v>
      </c>
      <c r="B597" t="s">
        <v>183</v>
      </c>
      <c r="C597" t="s">
        <v>53</v>
      </c>
      <c r="D597" t="s">
        <v>28</v>
      </c>
      <c r="E597" s="2">
        <v>8.07</v>
      </c>
      <c r="F597" s="2">
        <v>11.59</v>
      </c>
      <c r="G597" s="3">
        <v>179</v>
      </c>
      <c r="H597" s="3">
        <v>86</v>
      </c>
      <c r="I597" s="3">
        <v>93</v>
      </c>
      <c r="J597" s="3">
        <v>18</v>
      </c>
      <c r="K597" t="s">
        <v>20</v>
      </c>
      <c r="L597" s="2">
        <f t="shared" si="27"/>
        <v>3.5199999999999996</v>
      </c>
      <c r="M597" s="2">
        <f t="shared" si="28"/>
        <v>996.74</v>
      </c>
      <c r="N597" s="2">
        <f t="shared" si="29"/>
        <v>302.71999999999997</v>
      </c>
    </row>
    <row r="598" spans="1:14">
      <c r="A598" t="s">
        <v>707</v>
      </c>
      <c r="B598" t="s">
        <v>186</v>
      </c>
      <c r="C598" t="s">
        <v>13</v>
      </c>
      <c r="D598" t="s">
        <v>39</v>
      </c>
      <c r="E598" s="2">
        <v>17.510000000000002</v>
      </c>
      <c r="F598" s="2">
        <v>24.08</v>
      </c>
      <c r="G598" s="3">
        <v>321</v>
      </c>
      <c r="H598" s="3">
        <v>121</v>
      </c>
      <c r="I598" s="3">
        <v>200</v>
      </c>
      <c r="J598" s="3">
        <v>36</v>
      </c>
      <c r="K598" t="s">
        <v>20</v>
      </c>
      <c r="L598" s="2">
        <f t="shared" si="27"/>
        <v>6.5699999999999967</v>
      </c>
      <c r="M598" s="2">
        <f t="shared" si="28"/>
        <v>2913.68</v>
      </c>
      <c r="N598" s="2">
        <f t="shared" si="29"/>
        <v>794.96999999999957</v>
      </c>
    </row>
    <row r="599" spans="1:14">
      <c r="A599" t="s">
        <v>708</v>
      </c>
      <c r="B599" t="s">
        <v>151</v>
      </c>
      <c r="C599" t="s">
        <v>53</v>
      </c>
      <c r="D599" t="s">
        <v>19</v>
      </c>
      <c r="E599" s="2">
        <v>31.12</v>
      </c>
      <c r="F599" s="2">
        <v>66.94</v>
      </c>
      <c r="G599" s="3">
        <v>31</v>
      </c>
      <c r="H599" s="3">
        <v>21</v>
      </c>
      <c r="I599" s="3">
        <v>10</v>
      </c>
      <c r="J599" s="3">
        <v>6</v>
      </c>
      <c r="K599" t="s">
        <v>20</v>
      </c>
      <c r="L599" s="2">
        <f t="shared" si="27"/>
        <v>35.819999999999993</v>
      </c>
      <c r="M599" s="2">
        <f t="shared" si="28"/>
        <v>1405.74</v>
      </c>
      <c r="N599" s="2">
        <f t="shared" si="29"/>
        <v>752.2199999999998</v>
      </c>
    </row>
    <row r="600" spans="1:14">
      <c r="A600" t="s">
        <v>709</v>
      </c>
      <c r="B600" t="s">
        <v>50</v>
      </c>
      <c r="C600" t="s">
        <v>33</v>
      </c>
      <c r="D600" t="s">
        <v>54</v>
      </c>
      <c r="E600" s="2">
        <v>10.99</v>
      </c>
      <c r="F600" s="2">
        <v>17.55</v>
      </c>
      <c r="G600" s="3">
        <v>442</v>
      </c>
      <c r="H600" s="3">
        <v>73</v>
      </c>
      <c r="I600" s="3">
        <v>369</v>
      </c>
      <c r="J600" s="3">
        <v>96</v>
      </c>
      <c r="K600" t="s">
        <v>20</v>
      </c>
      <c r="L600" s="2">
        <f t="shared" si="27"/>
        <v>6.5600000000000005</v>
      </c>
      <c r="M600" s="2">
        <f t="shared" si="28"/>
        <v>1281.1500000000001</v>
      </c>
      <c r="N600" s="2">
        <f t="shared" si="29"/>
        <v>478.88000000000005</v>
      </c>
    </row>
    <row r="601" spans="1:14">
      <c r="A601" t="s">
        <v>710</v>
      </c>
      <c r="B601" t="s">
        <v>72</v>
      </c>
      <c r="C601" t="s">
        <v>27</v>
      </c>
      <c r="D601" t="s">
        <v>54</v>
      </c>
      <c r="E601" s="2">
        <v>16.82</v>
      </c>
      <c r="F601" s="2">
        <v>28.96</v>
      </c>
      <c r="G601" s="3">
        <v>162</v>
      </c>
      <c r="H601" s="3">
        <v>112</v>
      </c>
      <c r="I601" s="3">
        <v>50</v>
      </c>
      <c r="J601" s="3">
        <v>29</v>
      </c>
      <c r="K601" t="s">
        <v>20</v>
      </c>
      <c r="L601" s="2">
        <f t="shared" si="27"/>
        <v>12.14</v>
      </c>
      <c r="M601" s="2">
        <f t="shared" si="28"/>
        <v>3243.52</v>
      </c>
      <c r="N601" s="2">
        <f t="shared" si="29"/>
        <v>1359.68</v>
      </c>
    </row>
    <row r="602" spans="1:14">
      <c r="A602" t="s">
        <v>711</v>
      </c>
      <c r="B602" t="s">
        <v>144</v>
      </c>
      <c r="C602" t="s">
        <v>88</v>
      </c>
      <c r="D602" t="s">
        <v>48</v>
      </c>
      <c r="E602" s="2">
        <v>71.75</v>
      </c>
      <c r="F602" s="2">
        <v>130.69</v>
      </c>
      <c r="G602" s="3">
        <v>360</v>
      </c>
      <c r="H602" s="3">
        <v>92</v>
      </c>
      <c r="I602" s="3">
        <v>268</v>
      </c>
      <c r="J602" s="3">
        <v>73</v>
      </c>
      <c r="K602" t="s">
        <v>20</v>
      </c>
      <c r="L602" s="2">
        <f t="shared" si="27"/>
        <v>58.94</v>
      </c>
      <c r="M602" s="2">
        <f t="shared" si="28"/>
        <v>12023.48</v>
      </c>
      <c r="N602" s="2">
        <f t="shared" si="29"/>
        <v>5422.48</v>
      </c>
    </row>
    <row r="603" spans="1:14">
      <c r="A603" t="s">
        <v>712</v>
      </c>
      <c r="B603" t="s">
        <v>179</v>
      </c>
      <c r="C603" t="s">
        <v>53</v>
      </c>
      <c r="D603" t="s">
        <v>14</v>
      </c>
      <c r="E603" s="2">
        <v>19.100000000000001</v>
      </c>
      <c r="F603" s="2">
        <v>34.090000000000003</v>
      </c>
      <c r="G603" s="3">
        <v>279</v>
      </c>
      <c r="H603" s="3">
        <v>66</v>
      </c>
      <c r="I603" s="3">
        <v>213</v>
      </c>
      <c r="J603" s="3">
        <v>31</v>
      </c>
      <c r="K603" t="s">
        <v>20</v>
      </c>
      <c r="L603" s="2">
        <f t="shared" si="27"/>
        <v>14.990000000000002</v>
      </c>
      <c r="M603" s="2">
        <f t="shared" si="28"/>
        <v>2249.94</v>
      </c>
      <c r="N603" s="2">
        <f t="shared" si="29"/>
        <v>989.34000000000015</v>
      </c>
    </row>
    <row r="604" spans="1:14">
      <c r="A604" t="s">
        <v>713</v>
      </c>
      <c r="B604" t="s">
        <v>30</v>
      </c>
      <c r="C604" t="s">
        <v>13</v>
      </c>
      <c r="D604" t="s">
        <v>19</v>
      </c>
      <c r="E604" s="2">
        <v>3.44</v>
      </c>
      <c r="F604" s="2">
        <v>7.12</v>
      </c>
      <c r="G604" s="3">
        <v>464</v>
      </c>
      <c r="H604" s="3">
        <v>279</v>
      </c>
      <c r="I604" s="3">
        <v>185</v>
      </c>
      <c r="J604" s="3">
        <v>58</v>
      </c>
      <c r="K604" t="s">
        <v>20</v>
      </c>
      <c r="L604" s="2">
        <f t="shared" si="27"/>
        <v>3.68</v>
      </c>
      <c r="M604" s="2">
        <f t="shared" si="28"/>
        <v>1986.48</v>
      </c>
      <c r="N604" s="2">
        <f t="shared" si="29"/>
        <v>1026.72</v>
      </c>
    </row>
    <row r="605" spans="1:14">
      <c r="A605" t="s">
        <v>714</v>
      </c>
      <c r="B605" t="s">
        <v>17</v>
      </c>
      <c r="C605" t="s">
        <v>18</v>
      </c>
      <c r="D605" t="s">
        <v>100</v>
      </c>
      <c r="E605" s="2">
        <v>7.33</v>
      </c>
      <c r="F605" s="2">
        <v>15.9</v>
      </c>
      <c r="G605" s="3">
        <v>260</v>
      </c>
      <c r="H605" s="3">
        <v>239</v>
      </c>
      <c r="I605" s="3">
        <v>21</v>
      </c>
      <c r="J605" s="3">
        <v>52</v>
      </c>
      <c r="K605" t="s">
        <v>15</v>
      </c>
      <c r="L605" s="2">
        <f t="shared" si="27"/>
        <v>8.57</v>
      </c>
      <c r="M605" s="2">
        <f t="shared" si="28"/>
        <v>3800.1</v>
      </c>
      <c r="N605" s="2">
        <f t="shared" si="29"/>
        <v>2048.23</v>
      </c>
    </row>
    <row r="606" spans="1:14">
      <c r="A606" t="s">
        <v>715</v>
      </c>
      <c r="B606" t="s">
        <v>66</v>
      </c>
      <c r="C606" t="s">
        <v>18</v>
      </c>
      <c r="D606" t="s">
        <v>28</v>
      </c>
      <c r="E606" s="2">
        <v>2.76</v>
      </c>
      <c r="F606" s="2">
        <v>5.65</v>
      </c>
      <c r="G606" s="3">
        <v>132</v>
      </c>
      <c r="H606" s="3">
        <v>48</v>
      </c>
      <c r="I606" s="3">
        <v>84</v>
      </c>
      <c r="J606" s="3">
        <v>18</v>
      </c>
      <c r="K606" t="s">
        <v>20</v>
      </c>
      <c r="L606" s="2">
        <f t="shared" si="27"/>
        <v>2.8900000000000006</v>
      </c>
      <c r="M606" s="2">
        <f t="shared" si="28"/>
        <v>271.20000000000005</v>
      </c>
      <c r="N606" s="2">
        <f t="shared" si="29"/>
        <v>138.72000000000003</v>
      </c>
    </row>
    <row r="607" spans="1:14">
      <c r="A607" t="s">
        <v>716</v>
      </c>
      <c r="B607" t="s">
        <v>167</v>
      </c>
      <c r="C607" t="s">
        <v>88</v>
      </c>
      <c r="D607" t="s">
        <v>54</v>
      </c>
      <c r="E607" s="2">
        <v>46.1</v>
      </c>
      <c r="F607" s="2">
        <v>95.51</v>
      </c>
      <c r="G607" s="3">
        <v>188</v>
      </c>
      <c r="H607" s="3">
        <v>177</v>
      </c>
      <c r="I607" s="3">
        <v>11</v>
      </c>
      <c r="J607" s="3">
        <v>22</v>
      </c>
      <c r="K607" t="s">
        <v>15</v>
      </c>
      <c r="L607" s="2">
        <f t="shared" si="27"/>
        <v>49.410000000000004</v>
      </c>
      <c r="M607" s="2">
        <f t="shared" si="28"/>
        <v>16905.27</v>
      </c>
      <c r="N607" s="2">
        <f t="shared" si="29"/>
        <v>8745.5700000000015</v>
      </c>
    </row>
    <row r="608" spans="1:14">
      <c r="A608" t="s">
        <v>717</v>
      </c>
      <c r="B608" t="s">
        <v>87</v>
      </c>
      <c r="C608" t="s">
        <v>88</v>
      </c>
      <c r="D608" t="s">
        <v>28</v>
      </c>
      <c r="E608" s="2">
        <v>37.78</v>
      </c>
      <c r="F608" s="2">
        <v>53.51</v>
      </c>
      <c r="G608" s="3">
        <v>159</v>
      </c>
      <c r="H608" s="3">
        <v>55</v>
      </c>
      <c r="I608" s="3">
        <v>104</v>
      </c>
      <c r="J608" s="3">
        <v>19</v>
      </c>
      <c r="K608" t="s">
        <v>20</v>
      </c>
      <c r="L608" s="2">
        <f t="shared" si="27"/>
        <v>15.729999999999997</v>
      </c>
      <c r="M608" s="2">
        <f t="shared" si="28"/>
        <v>2943.0499999999997</v>
      </c>
      <c r="N608" s="2">
        <f t="shared" si="29"/>
        <v>865.14999999999986</v>
      </c>
    </row>
    <row r="609" spans="1:14">
      <c r="A609" t="s">
        <v>718</v>
      </c>
      <c r="B609" t="s">
        <v>116</v>
      </c>
      <c r="C609" t="s">
        <v>23</v>
      </c>
      <c r="D609" t="s">
        <v>19</v>
      </c>
      <c r="E609" s="2">
        <v>14.25</v>
      </c>
      <c r="F609" s="2">
        <v>30.58</v>
      </c>
      <c r="G609" s="3">
        <v>379</v>
      </c>
      <c r="H609" s="3">
        <v>333</v>
      </c>
      <c r="I609" s="3">
        <v>46</v>
      </c>
      <c r="J609" s="3">
        <v>56</v>
      </c>
      <c r="K609" t="s">
        <v>15</v>
      </c>
      <c r="L609" s="2">
        <f t="shared" si="27"/>
        <v>16.329999999999998</v>
      </c>
      <c r="M609" s="2">
        <f t="shared" si="28"/>
        <v>10183.14</v>
      </c>
      <c r="N609" s="2">
        <f t="shared" si="29"/>
        <v>5437.8899999999994</v>
      </c>
    </row>
    <row r="610" spans="1:14">
      <c r="A610" t="s">
        <v>719</v>
      </c>
      <c r="B610" t="s">
        <v>94</v>
      </c>
      <c r="C610" t="s">
        <v>33</v>
      </c>
      <c r="D610" t="s">
        <v>100</v>
      </c>
      <c r="E610" s="2">
        <v>10.4</v>
      </c>
      <c r="F610" s="2">
        <v>19.63</v>
      </c>
      <c r="G610" s="3">
        <v>388</v>
      </c>
      <c r="H610" s="3">
        <v>96</v>
      </c>
      <c r="I610" s="3">
        <v>292</v>
      </c>
      <c r="J610" s="3">
        <v>39</v>
      </c>
      <c r="K610" t="s">
        <v>20</v>
      </c>
      <c r="L610" s="2">
        <f t="shared" si="27"/>
        <v>9.2299999999999986</v>
      </c>
      <c r="M610" s="2">
        <f t="shared" si="28"/>
        <v>1884.48</v>
      </c>
      <c r="N610" s="2">
        <f t="shared" si="29"/>
        <v>886.07999999999993</v>
      </c>
    </row>
    <row r="611" spans="1:14">
      <c r="A611" t="s">
        <v>720</v>
      </c>
      <c r="B611" t="s">
        <v>135</v>
      </c>
      <c r="C611" t="s">
        <v>18</v>
      </c>
      <c r="D611" t="s">
        <v>28</v>
      </c>
      <c r="E611" s="2">
        <v>6.09</v>
      </c>
      <c r="F611" s="2">
        <v>12.65</v>
      </c>
      <c r="G611" s="3">
        <v>450</v>
      </c>
      <c r="H611" s="3">
        <v>67</v>
      </c>
      <c r="I611" s="3">
        <v>383</v>
      </c>
      <c r="J611" s="3">
        <v>91</v>
      </c>
      <c r="K611" t="s">
        <v>20</v>
      </c>
      <c r="L611" s="2">
        <f t="shared" si="27"/>
        <v>6.5600000000000005</v>
      </c>
      <c r="M611" s="2">
        <f t="shared" si="28"/>
        <v>847.55000000000007</v>
      </c>
      <c r="N611" s="2">
        <f t="shared" si="29"/>
        <v>439.52000000000004</v>
      </c>
    </row>
    <row r="612" spans="1:14">
      <c r="A612" t="s">
        <v>721</v>
      </c>
      <c r="B612" t="s">
        <v>153</v>
      </c>
      <c r="C612" t="s">
        <v>27</v>
      </c>
      <c r="D612" t="s">
        <v>77</v>
      </c>
      <c r="E612" s="2">
        <v>22.26</v>
      </c>
      <c r="F612" s="2">
        <v>46.58</v>
      </c>
      <c r="G612" s="3">
        <v>218</v>
      </c>
      <c r="H612" s="3">
        <v>44</v>
      </c>
      <c r="I612" s="3">
        <v>174</v>
      </c>
      <c r="J612" s="3">
        <v>29</v>
      </c>
      <c r="K612" t="s">
        <v>20</v>
      </c>
      <c r="L612" s="2">
        <f t="shared" si="27"/>
        <v>24.319999999999997</v>
      </c>
      <c r="M612" s="2">
        <f t="shared" si="28"/>
        <v>2049.52</v>
      </c>
      <c r="N612" s="2">
        <f t="shared" si="29"/>
        <v>1070.08</v>
      </c>
    </row>
    <row r="613" spans="1:14">
      <c r="A613" t="s">
        <v>722</v>
      </c>
      <c r="B613" t="s">
        <v>41</v>
      </c>
      <c r="C613" t="s">
        <v>23</v>
      </c>
      <c r="D613" t="s">
        <v>42</v>
      </c>
      <c r="E613" s="2">
        <v>20.13</v>
      </c>
      <c r="F613" s="2">
        <v>35.549999999999997</v>
      </c>
      <c r="G613" s="3">
        <v>312</v>
      </c>
      <c r="H613" s="3">
        <v>71</v>
      </c>
      <c r="I613" s="3">
        <v>241</v>
      </c>
      <c r="J613" s="3">
        <v>68</v>
      </c>
      <c r="K613" t="s">
        <v>20</v>
      </c>
      <c r="L613" s="2">
        <f t="shared" si="27"/>
        <v>15.419999999999998</v>
      </c>
      <c r="M613" s="2">
        <f t="shared" si="28"/>
        <v>2524.0499999999997</v>
      </c>
      <c r="N613" s="2">
        <f t="shared" si="29"/>
        <v>1094.82</v>
      </c>
    </row>
    <row r="614" spans="1:14">
      <c r="A614" t="s">
        <v>723</v>
      </c>
      <c r="B614" t="s">
        <v>85</v>
      </c>
      <c r="C614" t="s">
        <v>27</v>
      </c>
      <c r="D614" t="s">
        <v>42</v>
      </c>
      <c r="E614" s="2">
        <v>14.03</v>
      </c>
      <c r="F614" s="2">
        <v>20.66</v>
      </c>
      <c r="G614" s="3">
        <v>81</v>
      </c>
      <c r="H614" s="3">
        <v>53</v>
      </c>
      <c r="I614" s="3">
        <v>28</v>
      </c>
      <c r="J614" s="3">
        <v>10</v>
      </c>
      <c r="K614" t="s">
        <v>20</v>
      </c>
      <c r="L614" s="2">
        <f t="shared" si="27"/>
        <v>6.6300000000000008</v>
      </c>
      <c r="M614" s="2">
        <f t="shared" si="28"/>
        <v>1094.98</v>
      </c>
      <c r="N614" s="2">
        <f t="shared" si="29"/>
        <v>351.39000000000004</v>
      </c>
    </row>
    <row r="615" spans="1:14">
      <c r="A615" t="s">
        <v>724</v>
      </c>
      <c r="B615" t="s">
        <v>46</v>
      </c>
      <c r="C615" t="s">
        <v>47</v>
      </c>
      <c r="D615" t="s">
        <v>54</v>
      </c>
      <c r="E615" s="2">
        <v>13.94</v>
      </c>
      <c r="F615" s="2">
        <v>22.45</v>
      </c>
      <c r="G615" s="3">
        <v>201</v>
      </c>
      <c r="H615" s="3">
        <v>52</v>
      </c>
      <c r="I615" s="3">
        <v>149</v>
      </c>
      <c r="J615" s="3">
        <v>48</v>
      </c>
      <c r="K615" t="s">
        <v>20</v>
      </c>
      <c r="L615" s="2">
        <f t="shared" si="27"/>
        <v>8.51</v>
      </c>
      <c r="M615" s="2">
        <f t="shared" si="28"/>
        <v>1167.3999999999999</v>
      </c>
      <c r="N615" s="2">
        <f t="shared" si="29"/>
        <v>442.52</v>
      </c>
    </row>
    <row r="616" spans="1:14">
      <c r="A616" t="s">
        <v>725</v>
      </c>
      <c r="B616" t="s">
        <v>110</v>
      </c>
      <c r="C616" t="s">
        <v>27</v>
      </c>
      <c r="D616" t="s">
        <v>77</v>
      </c>
      <c r="E616" s="2">
        <v>19.309999999999999</v>
      </c>
      <c r="F616" s="2">
        <v>28.06</v>
      </c>
      <c r="G616" s="3">
        <v>22</v>
      </c>
      <c r="H616" s="3">
        <v>10</v>
      </c>
      <c r="I616" s="3">
        <v>12</v>
      </c>
      <c r="J616" s="3">
        <v>4</v>
      </c>
      <c r="K616" t="s">
        <v>20</v>
      </c>
      <c r="L616" s="2">
        <f t="shared" si="27"/>
        <v>8.75</v>
      </c>
      <c r="M616" s="2">
        <f t="shared" si="28"/>
        <v>280.59999999999997</v>
      </c>
      <c r="N616" s="2">
        <f t="shared" si="29"/>
        <v>87.5</v>
      </c>
    </row>
    <row r="617" spans="1:14">
      <c r="A617" t="s">
        <v>726</v>
      </c>
      <c r="B617" t="s">
        <v>97</v>
      </c>
      <c r="C617" t="s">
        <v>53</v>
      </c>
      <c r="D617" t="s">
        <v>100</v>
      </c>
      <c r="E617" s="2">
        <v>25.79</v>
      </c>
      <c r="F617" s="2">
        <v>48.66</v>
      </c>
      <c r="G617" s="3">
        <v>222</v>
      </c>
      <c r="H617" s="3">
        <v>64</v>
      </c>
      <c r="I617" s="3">
        <v>158</v>
      </c>
      <c r="J617" s="3">
        <v>46</v>
      </c>
      <c r="K617" t="s">
        <v>20</v>
      </c>
      <c r="L617" s="2">
        <f t="shared" si="27"/>
        <v>22.869999999999997</v>
      </c>
      <c r="M617" s="2">
        <f t="shared" si="28"/>
        <v>3114.24</v>
      </c>
      <c r="N617" s="2">
        <f t="shared" si="29"/>
        <v>1463.6799999999998</v>
      </c>
    </row>
    <row r="618" spans="1:14">
      <c r="A618" t="s">
        <v>727</v>
      </c>
      <c r="B618" t="s">
        <v>169</v>
      </c>
      <c r="C618" t="s">
        <v>53</v>
      </c>
      <c r="D618" t="s">
        <v>42</v>
      </c>
      <c r="E618" s="2">
        <v>6.5</v>
      </c>
      <c r="F618" s="2">
        <v>13.84</v>
      </c>
      <c r="G618" s="3">
        <v>215</v>
      </c>
      <c r="H618" s="3">
        <v>45</v>
      </c>
      <c r="I618" s="3">
        <v>170</v>
      </c>
      <c r="J618" s="3">
        <v>49</v>
      </c>
      <c r="K618" t="s">
        <v>20</v>
      </c>
      <c r="L618" s="2">
        <f t="shared" si="27"/>
        <v>7.34</v>
      </c>
      <c r="M618" s="2">
        <f t="shared" si="28"/>
        <v>622.79999999999995</v>
      </c>
      <c r="N618" s="2">
        <f t="shared" si="29"/>
        <v>330.3</v>
      </c>
    </row>
    <row r="619" spans="1:14">
      <c r="A619" t="s">
        <v>728</v>
      </c>
      <c r="B619" t="s">
        <v>126</v>
      </c>
      <c r="C619" t="s">
        <v>23</v>
      </c>
      <c r="D619" t="s">
        <v>42</v>
      </c>
      <c r="E619" s="2">
        <v>24.83</v>
      </c>
      <c r="F619" s="2">
        <v>52.87</v>
      </c>
      <c r="G619" s="3">
        <v>386</v>
      </c>
      <c r="H619" s="3">
        <v>95</v>
      </c>
      <c r="I619" s="3">
        <v>291</v>
      </c>
      <c r="J619" s="3">
        <v>68</v>
      </c>
      <c r="K619" t="s">
        <v>20</v>
      </c>
      <c r="L619" s="2">
        <f t="shared" si="27"/>
        <v>28.04</v>
      </c>
      <c r="M619" s="2">
        <f t="shared" si="28"/>
        <v>5022.6499999999996</v>
      </c>
      <c r="N619" s="2">
        <f t="shared" si="29"/>
        <v>2663.7999999999997</v>
      </c>
    </row>
    <row r="620" spans="1:14">
      <c r="A620" t="s">
        <v>729</v>
      </c>
      <c r="B620" t="s">
        <v>106</v>
      </c>
      <c r="C620" t="s">
        <v>33</v>
      </c>
      <c r="D620" t="s">
        <v>39</v>
      </c>
      <c r="E620" s="2">
        <v>2.33</v>
      </c>
      <c r="F620" s="2">
        <v>3.84</v>
      </c>
      <c r="G620" s="3">
        <v>35</v>
      </c>
      <c r="H620" s="3">
        <v>6</v>
      </c>
      <c r="I620" s="3">
        <v>29</v>
      </c>
      <c r="J620" s="3">
        <v>3</v>
      </c>
      <c r="K620" t="s">
        <v>20</v>
      </c>
      <c r="L620" s="2">
        <f t="shared" si="27"/>
        <v>1.5099999999999998</v>
      </c>
      <c r="M620" s="2">
        <f t="shared" si="28"/>
        <v>23.04</v>
      </c>
      <c r="N620" s="2">
        <f t="shared" si="29"/>
        <v>9.0599999999999987</v>
      </c>
    </row>
    <row r="621" spans="1:14">
      <c r="A621" t="s">
        <v>730</v>
      </c>
      <c r="B621" t="s">
        <v>104</v>
      </c>
      <c r="C621" t="s">
        <v>33</v>
      </c>
      <c r="D621" t="s">
        <v>100</v>
      </c>
      <c r="E621" s="2">
        <v>1.52</v>
      </c>
      <c r="F621" s="2">
        <v>2.15</v>
      </c>
      <c r="G621" s="3">
        <v>157</v>
      </c>
      <c r="H621" s="3">
        <v>101</v>
      </c>
      <c r="I621" s="3">
        <v>56</v>
      </c>
      <c r="J621" s="3">
        <v>19</v>
      </c>
      <c r="K621" t="s">
        <v>20</v>
      </c>
      <c r="L621" s="2">
        <f t="shared" si="27"/>
        <v>0.62999999999999989</v>
      </c>
      <c r="M621" s="2">
        <f t="shared" si="28"/>
        <v>217.14999999999998</v>
      </c>
      <c r="N621" s="2">
        <f t="shared" si="29"/>
        <v>63.629999999999988</v>
      </c>
    </row>
    <row r="622" spans="1:14">
      <c r="A622" t="s">
        <v>731</v>
      </c>
      <c r="B622" t="s">
        <v>351</v>
      </c>
      <c r="C622" t="s">
        <v>47</v>
      </c>
      <c r="D622" t="s">
        <v>48</v>
      </c>
      <c r="E622" s="2">
        <v>2.69</v>
      </c>
      <c r="F622" s="2">
        <v>5.05</v>
      </c>
      <c r="G622" s="3">
        <v>482</v>
      </c>
      <c r="H622" s="3">
        <v>210</v>
      </c>
      <c r="I622" s="3">
        <v>272</v>
      </c>
      <c r="J622" s="3">
        <v>48</v>
      </c>
      <c r="K622" t="s">
        <v>20</v>
      </c>
      <c r="L622" s="2">
        <f t="shared" si="27"/>
        <v>2.36</v>
      </c>
      <c r="M622" s="2">
        <f t="shared" si="28"/>
        <v>1060.5</v>
      </c>
      <c r="N622" s="2">
        <f t="shared" si="29"/>
        <v>495.59999999999997</v>
      </c>
    </row>
    <row r="623" spans="1:14">
      <c r="A623" t="s">
        <v>732</v>
      </c>
      <c r="B623" t="s">
        <v>141</v>
      </c>
      <c r="C623" t="s">
        <v>47</v>
      </c>
      <c r="D623" t="s">
        <v>77</v>
      </c>
      <c r="E623" s="2">
        <v>1.41</v>
      </c>
      <c r="F623" s="2">
        <v>1.88</v>
      </c>
      <c r="G623" s="3">
        <v>399</v>
      </c>
      <c r="H623" s="3">
        <v>290</v>
      </c>
      <c r="I623" s="3">
        <v>109</v>
      </c>
      <c r="J623" s="3">
        <v>65</v>
      </c>
      <c r="K623" t="s">
        <v>20</v>
      </c>
      <c r="L623" s="2">
        <f t="shared" si="27"/>
        <v>0.47</v>
      </c>
      <c r="M623" s="2">
        <f t="shared" si="28"/>
        <v>545.19999999999993</v>
      </c>
      <c r="N623" s="2">
        <f t="shared" si="29"/>
        <v>136.29999999999998</v>
      </c>
    </row>
    <row r="624" spans="1:14">
      <c r="A624" t="s">
        <v>733</v>
      </c>
      <c r="B624" t="s">
        <v>179</v>
      </c>
      <c r="C624" t="s">
        <v>53</v>
      </c>
      <c r="D624" t="s">
        <v>14</v>
      </c>
      <c r="E624" s="2">
        <v>25.05</v>
      </c>
      <c r="F624" s="2">
        <v>37.97</v>
      </c>
      <c r="G624" s="3">
        <v>374</v>
      </c>
      <c r="H624" s="3">
        <v>162</v>
      </c>
      <c r="I624" s="3">
        <v>212</v>
      </c>
      <c r="J624" s="3">
        <v>49</v>
      </c>
      <c r="K624" t="s">
        <v>20</v>
      </c>
      <c r="L624" s="2">
        <f t="shared" si="27"/>
        <v>12.919999999999998</v>
      </c>
      <c r="M624" s="2">
        <f t="shared" si="28"/>
        <v>6151.1399999999994</v>
      </c>
      <c r="N624" s="2">
        <f t="shared" si="29"/>
        <v>2093.0399999999995</v>
      </c>
    </row>
    <row r="625" spans="1:14">
      <c r="A625" t="s">
        <v>734</v>
      </c>
      <c r="B625" t="s">
        <v>222</v>
      </c>
      <c r="C625" t="s">
        <v>18</v>
      </c>
      <c r="D625" t="s">
        <v>28</v>
      </c>
      <c r="E625" s="2">
        <v>15.17</v>
      </c>
      <c r="F625" s="2">
        <v>27.2</v>
      </c>
      <c r="G625" s="3">
        <v>52</v>
      </c>
      <c r="H625" s="3">
        <v>43</v>
      </c>
      <c r="I625" s="3">
        <v>9</v>
      </c>
      <c r="J625" s="3">
        <v>9</v>
      </c>
      <c r="K625" t="s">
        <v>15</v>
      </c>
      <c r="L625" s="2">
        <f t="shared" si="27"/>
        <v>12.03</v>
      </c>
      <c r="M625" s="2">
        <f t="shared" si="28"/>
        <v>1169.5999999999999</v>
      </c>
      <c r="N625" s="2">
        <f t="shared" si="29"/>
        <v>517.29</v>
      </c>
    </row>
    <row r="626" spans="1:14">
      <c r="A626" t="s">
        <v>735</v>
      </c>
      <c r="B626" t="s">
        <v>167</v>
      </c>
      <c r="C626" t="s">
        <v>88</v>
      </c>
      <c r="D626" t="s">
        <v>77</v>
      </c>
      <c r="E626" s="2">
        <v>3.01</v>
      </c>
      <c r="F626" s="2">
        <v>5.23</v>
      </c>
      <c r="G626" s="3">
        <v>219</v>
      </c>
      <c r="H626" s="3">
        <v>156</v>
      </c>
      <c r="I626" s="3">
        <v>63</v>
      </c>
      <c r="J626" s="3">
        <v>36</v>
      </c>
      <c r="K626" t="s">
        <v>20</v>
      </c>
      <c r="L626" s="2">
        <f t="shared" si="27"/>
        <v>2.2200000000000006</v>
      </c>
      <c r="M626" s="2">
        <f t="shared" si="28"/>
        <v>815.88000000000011</v>
      </c>
      <c r="N626" s="2">
        <f t="shared" si="29"/>
        <v>346.32000000000011</v>
      </c>
    </row>
    <row r="627" spans="1:14">
      <c r="A627" t="s">
        <v>736</v>
      </c>
      <c r="B627" t="s">
        <v>81</v>
      </c>
      <c r="C627" t="s">
        <v>47</v>
      </c>
      <c r="D627" t="s">
        <v>19</v>
      </c>
      <c r="E627" s="2">
        <v>13.17</v>
      </c>
      <c r="F627" s="2">
        <v>28.61</v>
      </c>
      <c r="G627" s="3">
        <v>479</v>
      </c>
      <c r="H627" s="3">
        <v>284</v>
      </c>
      <c r="I627" s="3">
        <v>195</v>
      </c>
      <c r="J627" s="3">
        <v>52</v>
      </c>
      <c r="K627" t="s">
        <v>20</v>
      </c>
      <c r="L627" s="2">
        <f t="shared" si="27"/>
        <v>15.44</v>
      </c>
      <c r="M627" s="2">
        <f t="shared" si="28"/>
        <v>8125.24</v>
      </c>
      <c r="N627" s="2">
        <f t="shared" si="29"/>
        <v>4384.96</v>
      </c>
    </row>
    <row r="628" spans="1:14">
      <c r="A628" t="s">
        <v>737</v>
      </c>
      <c r="B628" t="s">
        <v>387</v>
      </c>
      <c r="C628" t="s">
        <v>88</v>
      </c>
      <c r="D628" t="s">
        <v>14</v>
      </c>
      <c r="E628" s="2">
        <v>61.78</v>
      </c>
      <c r="F628" s="2">
        <v>123.61</v>
      </c>
      <c r="G628" s="3">
        <v>321</v>
      </c>
      <c r="H628" s="3">
        <v>42</v>
      </c>
      <c r="I628" s="3">
        <v>279</v>
      </c>
      <c r="J628" s="3">
        <v>49</v>
      </c>
      <c r="K628" t="s">
        <v>20</v>
      </c>
      <c r="L628" s="2">
        <f t="shared" si="27"/>
        <v>61.83</v>
      </c>
      <c r="M628" s="2">
        <f t="shared" si="28"/>
        <v>5191.62</v>
      </c>
      <c r="N628" s="2">
        <f t="shared" si="29"/>
        <v>2596.86</v>
      </c>
    </row>
    <row r="629" spans="1:14">
      <c r="A629" t="s">
        <v>738</v>
      </c>
      <c r="B629" t="s">
        <v>41</v>
      </c>
      <c r="C629" t="s">
        <v>23</v>
      </c>
      <c r="D629" t="s">
        <v>77</v>
      </c>
      <c r="E629" s="2">
        <v>21.59</v>
      </c>
      <c r="F629" s="2">
        <v>35</v>
      </c>
      <c r="G629" s="3">
        <v>213</v>
      </c>
      <c r="H629" s="3">
        <v>81</v>
      </c>
      <c r="I629" s="3">
        <v>132</v>
      </c>
      <c r="J629" s="3">
        <v>48</v>
      </c>
      <c r="K629" t="s">
        <v>20</v>
      </c>
      <c r="L629" s="2">
        <f t="shared" si="27"/>
        <v>13.41</v>
      </c>
      <c r="M629" s="2">
        <f t="shared" si="28"/>
        <v>2835</v>
      </c>
      <c r="N629" s="2">
        <f t="shared" si="29"/>
        <v>1086.21</v>
      </c>
    </row>
    <row r="630" spans="1:14">
      <c r="A630" t="s">
        <v>739</v>
      </c>
      <c r="B630" t="s">
        <v>76</v>
      </c>
      <c r="C630" t="s">
        <v>27</v>
      </c>
      <c r="D630" t="s">
        <v>100</v>
      </c>
      <c r="E630" s="2">
        <v>14.25</v>
      </c>
      <c r="F630" s="2">
        <v>30.17</v>
      </c>
      <c r="G630" s="3">
        <v>332</v>
      </c>
      <c r="H630" s="3">
        <v>266</v>
      </c>
      <c r="I630" s="3">
        <v>66</v>
      </c>
      <c r="J630" s="3">
        <v>82</v>
      </c>
      <c r="K630" t="s">
        <v>15</v>
      </c>
      <c r="L630" s="2">
        <f t="shared" si="27"/>
        <v>15.920000000000002</v>
      </c>
      <c r="M630" s="2">
        <f t="shared" si="28"/>
        <v>8025.22</v>
      </c>
      <c r="N630" s="2">
        <f t="shared" si="29"/>
        <v>4234.72</v>
      </c>
    </row>
    <row r="631" spans="1:14">
      <c r="A631" t="s">
        <v>740</v>
      </c>
      <c r="B631" t="s">
        <v>32</v>
      </c>
      <c r="C631" t="s">
        <v>33</v>
      </c>
      <c r="D631" t="s">
        <v>54</v>
      </c>
      <c r="E631" s="2">
        <v>4.3499999999999996</v>
      </c>
      <c r="F631" s="2">
        <v>8.85</v>
      </c>
      <c r="G631" s="3">
        <v>274</v>
      </c>
      <c r="H631" s="3">
        <v>106</v>
      </c>
      <c r="I631" s="3">
        <v>168</v>
      </c>
      <c r="J631" s="3">
        <v>35</v>
      </c>
      <c r="K631" t="s">
        <v>20</v>
      </c>
      <c r="L631" s="2">
        <f t="shared" si="27"/>
        <v>4.5</v>
      </c>
      <c r="M631" s="2">
        <f t="shared" si="28"/>
        <v>938.09999999999991</v>
      </c>
      <c r="N631" s="2">
        <f t="shared" si="29"/>
        <v>477</v>
      </c>
    </row>
    <row r="632" spans="1:14">
      <c r="A632" t="s">
        <v>741</v>
      </c>
      <c r="B632" t="s">
        <v>17</v>
      </c>
      <c r="C632" t="s">
        <v>18</v>
      </c>
      <c r="D632" t="s">
        <v>77</v>
      </c>
      <c r="E632" s="2">
        <v>7.64</v>
      </c>
      <c r="F632" s="2">
        <v>12.5</v>
      </c>
      <c r="G632" s="3">
        <v>243</v>
      </c>
      <c r="H632" s="3">
        <v>72</v>
      </c>
      <c r="I632" s="3">
        <v>171</v>
      </c>
      <c r="J632" s="3">
        <v>39</v>
      </c>
      <c r="K632" t="s">
        <v>20</v>
      </c>
      <c r="L632" s="2">
        <f t="shared" si="27"/>
        <v>4.8600000000000003</v>
      </c>
      <c r="M632" s="2">
        <f t="shared" si="28"/>
        <v>900</v>
      </c>
      <c r="N632" s="2">
        <f t="shared" si="29"/>
        <v>349.92</v>
      </c>
    </row>
    <row r="633" spans="1:14">
      <c r="A633" t="s">
        <v>742</v>
      </c>
      <c r="B633" t="s">
        <v>22</v>
      </c>
      <c r="C633" t="s">
        <v>23</v>
      </c>
      <c r="D633" t="s">
        <v>42</v>
      </c>
      <c r="E633" s="2">
        <v>14.94</v>
      </c>
      <c r="F633" s="2">
        <v>30.43</v>
      </c>
      <c r="G633" s="3">
        <v>350</v>
      </c>
      <c r="H633" s="3">
        <v>148</v>
      </c>
      <c r="I633" s="3">
        <v>202</v>
      </c>
      <c r="J633" s="3">
        <v>42</v>
      </c>
      <c r="K633" t="s">
        <v>20</v>
      </c>
      <c r="L633" s="2">
        <f t="shared" si="27"/>
        <v>15.49</v>
      </c>
      <c r="M633" s="2">
        <f t="shared" si="28"/>
        <v>4503.6400000000003</v>
      </c>
      <c r="N633" s="2">
        <f t="shared" si="29"/>
        <v>2292.52</v>
      </c>
    </row>
    <row r="634" spans="1:14">
      <c r="A634" t="s">
        <v>743</v>
      </c>
      <c r="B634" t="s">
        <v>128</v>
      </c>
      <c r="C634" t="s">
        <v>53</v>
      </c>
      <c r="D634" t="s">
        <v>24</v>
      </c>
      <c r="E634" s="2">
        <v>13.13</v>
      </c>
      <c r="F634" s="2">
        <v>25.28</v>
      </c>
      <c r="G634" s="3">
        <v>414</v>
      </c>
      <c r="H634" s="3">
        <v>349</v>
      </c>
      <c r="I634" s="3">
        <v>65</v>
      </c>
      <c r="J634" s="3">
        <v>56</v>
      </c>
      <c r="K634" t="s">
        <v>20</v>
      </c>
      <c r="L634" s="2">
        <f t="shared" si="27"/>
        <v>12.15</v>
      </c>
      <c r="M634" s="2">
        <f t="shared" si="28"/>
        <v>8822.7200000000012</v>
      </c>
      <c r="N634" s="2">
        <f t="shared" si="29"/>
        <v>4240.3500000000004</v>
      </c>
    </row>
    <row r="635" spans="1:14">
      <c r="A635" t="s">
        <v>744</v>
      </c>
      <c r="B635" t="s">
        <v>167</v>
      </c>
      <c r="C635" t="s">
        <v>88</v>
      </c>
      <c r="D635" t="s">
        <v>42</v>
      </c>
      <c r="E635" s="2">
        <v>31.74</v>
      </c>
      <c r="F635" s="2">
        <v>55.85</v>
      </c>
      <c r="G635" s="3">
        <v>278</v>
      </c>
      <c r="H635" s="3">
        <v>171</v>
      </c>
      <c r="I635" s="3">
        <v>107</v>
      </c>
      <c r="J635" s="3">
        <v>29</v>
      </c>
      <c r="K635" t="s">
        <v>20</v>
      </c>
      <c r="L635" s="2">
        <f t="shared" si="27"/>
        <v>24.110000000000003</v>
      </c>
      <c r="M635" s="2">
        <f t="shared" si="28"/>
        <v>9550.35</v>
      </c>
      <c r="N635" s="2">
        <f t="shared" si="29"/>
        <v>4122.8100000000004</v>
      </c>
    </row>
    <row r="636" spans="1:14">
      <c r="A636" t="s">
        <v>745</v>
      </c>
      <c r="B636" t="s">
        <v>83</v>
      </c>
      <c r="C636" t="s">
        <v>47</v>
      </c>
      <c r="D636" t="s">
        <v>28</v>
      </c>
      <c r="E636" s="2">
        <v>1.27</v>
      </c>
      <c r="F636" s="2">
        <v>2.48</v>
      </c>
      <c r="G636" s="3">
        <v>160</v>
      </c>
      <c r="H636" s="3">
        <v>102</v>
      </c>
      <c r="I636" s="3">
        <v>58</v>
      </c>
      <c r="J636" s="3">
        <v>21</v>
      </c>
      <c r="K636" t="s">
        <v>20</v>
      </c>
      <c r="L636" s="2">
        <f t="shared" si="27"/>
        <v>1.21</v>
      </c>
      <c r="M636" s="2">
        <f t="shared" si="28"/>
        <v>252.96</v>
      </c>
      <c r="N636" s="2">
        <f t="shared" si="29"/>
        <v>123.42</v>
      </c>
    </row>
    <row r="637" spans="1:14">
      <c r="A637" t="s">
        <v>746</v>
      </c>
      <c r="B637" t="s">
        <v>220</v>
      </c>
      <c r="C637" t="s">
        <v>23</v>
      </c>
      <c r="D637" t="s">
        <v>24</v>
      </c>
      <c r="E637" s="2">
        <v>7.09</v>
      </c>
      <c r="F637" s="2">
        <v>9.4</v>
      </c>
      <c r="G637" s="3">
        <v>63</v>
      </c>
      <c r="H637" s="3">
        <v>25</v>
      </c>
      <c r="I637" s="3">
        <v>38</v>
      </c>
      <c r="J637" s="3">
        <v>7</v>
      </c>
      <c r="K637" t="s">
        <v>20</v>
      </c>
      <c r="L637" s="2">
        <f t="shared" si="27"/>
        <v>2.3100000000000005</v>
      </c>
      <c r="M637" s="2">
        <f t="shared" si="28"/>
        <v>235</v>
      </c>
      <c r="N637" s="2">
        <f t="shared" si="29"/>
        <v>57.750000000000014</v>
      </c>
    </row>
    <row r="638" spans="1:14">
      <c r="A638" t="s">
        <v>747</v>
      </c>
      <c r="B638" t="s">
        <v>66</v>
      </c>
      <c r="C638" t="s">
        <v>18</v>
      </c>
      <c r="D638" t="s">
        <v>14</v>
      </c>
      <c r="E638" s="2">
        <v>9.98</v>
      </c>
      <c r="F638" s="2">
        <v>21.59</v>
      </c>
      <c r="G638" s="3">
        <v>185</v>
      </c>
      <c r="H638" s="3">
        <v>95</v>
      </c>
      <c r="I638" s="3">
        <v>90</v>
      </c>
      <c r="J638" s="3">
        <v>38</v>
      </c>
      <c r="K638" t="s">
        <v>20</v>
      </c>
      <c r="L638" s="2">
        <f t="shared" si="27"/>
        <v>11.61</v>
      </c>
      <c r="M638" s="2">
        <f t="shared" si="28"/>
        <v>2051.0500000000002</v>
      </c>
      <c r="N638" s="2">
        <f t="shared" si="29"/>
        <v>1102.95</v>
      </c>
    </row>
    <row r="639" spans="1:14">
      <c r="A639" t="s">
        <v>748</v>
      </c>
      <c r="B639" t="s">
        <v>141</v>
      </c>
      <c r="C639" t="s">
        <v>47</v>
      </c>
      <c r="D639" t="s">
        <v>54</v>
      </c>
      <c r="E639" s="2">
        <v>3.97</v>
      </c>
      <c r="F639" s="2">
        <v>8.0500000000000007</v>
      </c>
      <c r="G639" s="3">
        <v>395</v>
      </c>
      <c r="H639" s="3">
        <v>354</v>
      </c>
      <c r="I639" s="3">
        <v>41</v>
      </c>
      <c r="J639" s="3">
        <v>46</v>
      </c>
      <c r="K639" t="s">
        <v>15</v>
      </c>
      <c r="L639" s="2">
        <f t="shared" si="27"/>
        <v>4.08</v>
      </c>
      <c r="M639" s="2">
        <f t="shared" si="28"/>
        <v>2849.7000000000003</v>
      </c>
      <c r="N639" s="2">
        <f t="shared" si="29"/>
        <v>1444.32</v>
      </c>
    </row>
    <row r="640" spans="1:14">
      <c r="A640" t="s">
        <v>749</v>
      </c>
      <c r="B640" t="s">
        <v>323</v>
      </c>
      <c r="C640" t="s">
        <v>27</v>
      </c>
      <c r="D640" t="s">
        <v>14</v>
      </c>
      <c r="E640" s="2">
        <v>5.0199999999999996</v>
      </c>
      <c r="F640" s="2">
        <v>10.4</v>
      </c>
      <c r="G640" s="3">
        <v>214</v>
      </c>
      <c r="H640" s="3">
        <v>81</v>
      </c>
      <c r="I640" s="3">
        <v>133</v>
      </c>
      <c r="J640" s="3">
        <v>36</v>
      </c>
      <c r="K640" t="s">
        <v>20</v>
      </c>
      <c r="L640" s="2">
        <f t="shared" si="27"/>
        <v>5.3800000000000008</v>
      </c>
      <c r="M640" s="2">
        <f t="shared" si="28"/>
        <v>842.4</v>
      </c>
      <c r="N640" s="2">
        <f t="shared" si="29"/>
        <v>435.78000000000009</v>
      </c>
    </row>
    <row r="641" spans="1:14">
      <c r="A641" t="s">
        <v>750</v>
      </c>
      <c r="B641" t="s">
        <v>251</v>
      </c>
      <c r="C641" t="s">
        <v>13</v>
      </c>
      <c r="D641" t="s">
        <v>14</v>
      </c>
      <c r="E641" s="2">
        <v>11.98</v>
      </c>
      <c r="F641" s="2">
        <v>25.36</v>
      </c>
      <c r="G641" s="3">
        <v>277</v>
      </c>
      <c r="H641" s="3">
        <v>147</v>
      </c>
      <c r="I641" s="3">
        <v>130</v>
      </c>
      <c r="J641" s="3">
        <v>60</v>
      </c>
      <c r="K641" t="s">
        <v>20</v>
      </c>
      <c r="L641" s="2">
        <f t="shared" si="27"/>
        <v>13.379999999999999</v>
      </c>
      <c r="M641" s="2">
        <f t="shared" si="28"/>
        <v>3727.92</v>
      </c>
      <c r="N641" s="2">
        <f t="shared" si="29"/>
        <v>1966.86</v>
      </c>
    </row>
    <row r="642" spans="1:14">
      <c r="A642" t="s">
        <v>751</v>
      </c>
      <c r="B642" t="s">
        <v>153</v>
      </c>
      <c r="C642" t="s">
        <v>27</v>
      </c>
      <c r="D642" t="s">
        <v>54</v>
      </c>
      <c r="E642" s="2">
        <v>22.57</v>
      </c>
      <c r="F642" s="2">
        <v>32.29</v>
      </c>
      <c r="G642" s="3">
        <v>455</v>
      </c>
      <c r="H642" s="3">
        <v>336</v>
      </c>
      <c r="I642" s="3">
        <v>119</v>
      </c>
      <c r="J642" s="3">
        <v>107</v>
      </c>
      <c r="K642" t="s">
        <v>20</v>
      </c>
      <c r="L642" s="2">
        <f t="shared" si="27"/>
        <v>9.7199999999999989</v>
      </c>
      <c r="M642" s="2">
        <f t="shared" si="28"/>
        <v>10849.44</v>
      </c>
      <c r="N642" s="2">
        <f t="shared" si="29"/>
        <v>3265.9199999999996</v>
      </c>
    </row>
    <row r="643" spans="1:14">
      <c r="A643" t="s">
        <v>752</v>
      </c>
      <c r="B643" t="s">
        <v>406</v>
      </c>
      <c r="C643" t="s">
        <v>18</v>
      </c>
      <c r="D643" t="s">
        <v>42</v>
      </c>
      <c r="E643" s="2">
        <v>4.8499999999999996</v>
      </c>
      <c r="F643" s="2">
        <v>7.62</v>
      </c>
      <c r="G643" s="3">
        <v>414</v>
      </c>
      <c r="H643" s="3">
        <v>332</v>
      </c>
      <c r="I643" s="3">
        <v>82</v>
      </c>
      <c r="J643" s="3">
        <v>67</v>
      </c>
      <c r="K643" t="s">
        <v>20</v>
      </c>
      <c r="L643" s="2">
        <f t="shared" ref="L643:L706" si="30">F643-E643</f>
        <v>2.7700000000000005</v>
      </c>
      <c r="M643" s="2">
        <f t="shared" ref="M643:M706" si="31">H643*F643</f>
        <v>2529.84</v>
      </c>
      <c r="N643" s="2">
        <f t="shared" ref="N643:N706" si="32">H643*L643</f>
        <v>919.6400000000001</v>
      </c>
    </row>
    <row r="644" spans="1:14">
      <c r="A644" t="s">
        <v>753</v>
      </c>
      <c r="B644" t="s">
        <v>216</v>
      </c>
      <c r="C644" t="s">
        <v>23</v>
      </c>
      <c r="D644" t="s">
        <v>19</v>
      </c>
      <c r="E644" s="2">
        <v>12.57</v>
      </c>
      <c r="F644" s="2">
        <v>17.829999999999998</v>
      </c>
      <c r="G644" s="3">
        <v>198</v>
      </c>
      <c r="H644" s="3">
        <v>167</v>
      </c>
      <c r="I644" s="3">
        <v>31</v>
      </c>
      <c r="J644" s="3">
        <v>44</v>
      </c>
      <c r="K644" t="s">
        <v>15</v>
      </c>
      <c r="L644" s="2">
        <f t="shared" si="30"/>
        <v>5.259999999999998</v>
      </c>
      <c r="M644" s="2">
        <f t="shared" si="31"/>
        <v>2977.6099999999997</v>
      </c>
      <c r="N644" s="2">
        <f t="shared" si="32"/>
        <v>878.41999999999962</v>
      </c>
    </row>
    <row r="645" spans="1:14">
      <c r="A645" t="s">
        <v>754</v>
      </c>
      <c r="B645" t="s">
        <v>83</v>
      </c>
      <c r="C645" t="s">
        <v>47</v>
      </c>
      <c r="D645" t="s">
        <v>14</v>
      </c>
      <c r="E645" s="2">
        <v>7.88</v>
      </c>
      <c r="F645" s="2">
        <v>11.72</v>
      </c>
      <c r="G645" s="3">
        <v>366</v>
      </c>
      <c r="H645" s="3">
        <v>64</v>
      </c>
      <c r="I645" s="3">
        <v>302</v>
      </c>
      <c r="J645" s="3">
        <v>65</v>
      </c>
      <c r="K645" t="s">
        <v>20</v>
      </c>
      <c r="L645" s="2">
        <f t="shared" si="30"/>
        <v>3.8400000000000007</v>
      </c>
      <c r="M645" s="2">
        <f t="shared" si="31"/>
        <v>750.08</v>
      </c>
      <c r="N645" s="2">
        <f t="shared" si="32"/>
        <v>245.76000000000005</v>
      </c>
    </row>
    <row r="646" spans="1:14">
      <c r="A646" t="s">
        <v>755</v>
      </c>
      <c r="B646" t="s">
        <v>97</v>
      </c>
      <c r="C646" t="s">
        <v>53</v>
      </c>
      <c r="D646" t="s">
        <v>14</v>
      </c>
      <c r="E646" s="2">
        <v>4.8600000000000003</v>
      </c>
      <c r="F646" s="2">
        <v>6.41</v>
      </c>
      <c r="G646" s="3">
        <v>238</v>
      </c>
      <c r="H646" s="3">
        <v>61</v>
      </c>
      <c r="I646" s="3">
        <v>177</v>
      </c>
      <c r="J646" s="3">
        <v>25</v>
      </c>
      <c r="K646" t="s">
        <v>20</v>
      </c>
      <c r="L646" s="2">
        <f t="shared" si="30"/>
        <v>1.5499999999999998</v>
      </c>
      <c r="M646" s="2">
        <f t="shared" si="31"/>
        <v>391.01</v>
      </c>
      <c r="N646" s="2">
        <f t="shared" si="32"/>
        <v>94.549999999999983</v>
      </c>
    </row>
    <row r="647" spans="1:14">
      <c r="A647" t="s">
        <v>756</v>
      </c>
      <c r="B647" t="s">
        <v>421</v>
      </c>
      <c r="C647" t="s">
        <v>33</v>
      </c>
      <c r="D647" t="s">
        <v>19</v>
      </c>
      <c r="E647" s="2">
        <v>8.74</v>
      </c>
      <c r="F647" s="2">
        <v>14.5</v>
      </c>
      <c r="G647" s="3">
        <v>493</v>
      </c>
      <c r="H647" s="3">
        <v>357</v>
      </c>
      <c r="I647" s="3">
        <v>136</v>
      </c>
      <c r="J647" s="3">
        <v>70</v>
      </c>
      <c r="K647" t="s">
        <v>20</v>
      </c>
      <c r="L647" s="2">
        <f t="shared" si="30"/>
        <v>5.76</v>
      </c>
      <c r="M647" s="2">
        <f t="shared" si="31"/>
        <v>5176.5</v>
      </c>
      <c r="N647" s="2">
        <f t="shared" si="32"/>
        <v>2056.3199999999997</v>
      </c>
    </row>
    <row r="648" spans="1:14">
      <c r="A648" t="s">
        <v>757</v>
      </c>
      <c r="B648" t="s">
        <v>183</v>
      </c>
      <c r="C648" t="s">
        <v>53</v>
      </c>
      <c r="D648" t="s">
        <v>54</v>
      </c>
      <c r="E648" s="2">
        <v>23.94</v>
      </c>
      <c r="F648" s="2">
        <v>36.049999999999997</v>
      </c>
      <c r="G648" s="3">
        <v>31</v>
      </c>
      <c r="H648" s="3">
        <v>10</v>
      </c>
      <c r="I648" s="3">
        <v>21</v>
      </c>
      <c r="J648" s="3">
        <v>6</v>
      </c>
      <c r="K648" t="s">
        <v>20</v>
      </c>
      <c r="L648" s="2">
        <f t="shared" si="30"/>
        <v>12.109999999999996</v>
      </c>
      <c r="M648" s="2">
        <f t="shared" si="31"/>
        <v>360.5</v>
      </c>
      <c r="N648" s="2">
        <f t="shared" si="32"/>
        <v>121.09999999999997</v>
      </c>
    </row>
    <row r="649" spans="1:14">
      <c r="A649" t="s">
        <v>758</v>
      </c>
      <c r="B649" t="s">
        <v>37</v>
      </c>
      <c r="C649" t="s">
        <v>23</v>
      </c>
      <c r="D649" t="s">
        <v>14</v>
      </c>
      <c r="E649" s="2">
        <v>12.34</v>
      </c>
      <c r="F649" s="2">
        <v>21.67</v>
      </c>
      <c r="G649" s="3">
        <v>71</v>
      </c>
      <c r="H649" s="3">
        <v>23</v>
      </c>
      <c r="I649" s="3">
        <v>48</v>
      </c>
      <c r="J649" s="3">
        <v>8</v>
      </c>
      <c r="K649" t="s">
        <v>20</v>
      </c>
      <c r="L649" s="2">
        <f t="shared" si="30"/>
        <v>9.3300000000000018</v>
      </c>
      <c r="M649" s="2">
        <f t="shared" si="31"/>
        <v>498.41</v>
      </c>
      <c r="N649" s="2">
        <f t="shared" si="32"/>
        <v>214.59000000000003</v>
      </c>
    </row>
    <row r="650" spans="1:14">
      <c r="A650" t="s">
        <v>759</v>
      </c>
      <c r="B650" t="s">
        <v>69</v>
      </c>
      <c r="C650" t="s">
        <v>23</v>
      </c>
      <c r="D650" t="s">
        <v>54</v>
      </c>
      <c r="E650" s="2">
        <v>24.53</v>
      </c>
      <c r="F650" s="2">
        <v>47.05</v>
      </c>
      <c r="G650" s="3">
        <v>118</v>
      </c>
      <c r="H650" s="3">
        <v>89</v>
      </c>
      <c r="I650" s="3">
        <v>29</v>
      </c>
      <c r="J650" s="3">
        <v>18</v>
      </c>
      <c r="K650" t="s">
        <v>20</v>
      </c>
      <c r="L650" s="2">
        <f t="shared" si="30"/>
        <v>22.519999999999996</v>
      </c>
      <c r="M650" s="2">
        <f t="shared" si="31"/>
        <v>4187.45</v>
      </c>
      <c r="N650" s="2">
        <f t="shared" si="32"/>
        <v>2004.2799999999997</v>
      </c>
    </row>
    <row r="651" spans="1:14">
      <c r="A651" t="s">
        <v>760</v>
      </c>
      <c r="B651" t="s">
        <v>62</v>
      </c>
      <c r="C651" t="s">
        <v>13</v>
      </c>
      <c r="D651" t="s">
        <v>77</v>
      </c>
      <c r="E651" s="2">
        <v>11.06</v>
      </c>
      <c r="F651" s="2">
        <v>17.809999999999999</v>
      </c>
      <c r="G651" s="3">
        <v>197</v>
      </c>
      <c r="H651" s="3">
        <v>31</v>
      </c>
      <c r="I651" s="3">
        <v>166</v>
      </c>
      <c r="J651" s="3">
        <v>32</v>
      </c>
      <c r="K651" t="s">
        <v>20</v>
      </c>
      <c r="L651" s="2">
        <f t="shared" si="30"/>
        <v>6.7499999999999982</v>
      </c>
      <c r="M651" s="2">
        <f t="shared" si="31"/>
        <v>552.11</v>
      </c>
      <c r="N651" s="2">
        <f t="shared" si="32"/>
        <v>209.24999999999994</v>
      </c>
    </row>
    <row r="652" spans="1:14">
      <c r="A652" t="s">
        <v>761</v>
      </c>
      <c r="B652" t="s">
        <v>79</v>
      </c>
      <c r="C652" t="s">
        <v>13</v>
      </c>
      <c r="D652" t="s">
        <v>14</v>
      </c>
      <c r="E652" s="2">
        <v>24.23</v>
      </c>
      <c r="F652" s="2">
        <v>35.04</v>
      </c>
      <c r="G652" s="3">
        <v>241</v>
      </c>
      <c r="H652" s="3">
        <v>25</v>
      </c>
      <c r="I652" s="3">
        <v>216</v>
      </c>
      <c r="J652" s="3">
        <v>51</v>
      </c>
      <c r="K652" t="s">
        <v>20</v>
      </c>
      <c r="L652" s="2">
        <f t="shared" si="30"/>
        <v>10.809999999999999</v>
      </c>
      <c r="M652" s="2">
        <f t="shared" si="31"/>
        <v>876</v>
      </c>
      <c r="N652" s="2">
        <f t="shared" si="32"/>
        <v>270.24999999999994</v>
      </c>
    </row>
    <row r="653" spans="1:14">
      <c r="A653" t="s">
        <v>762</v>
      </c>
      <c r="B653" t="s">
        <v>81</v>
      </c>
      <c r="C653" t="s">
        <v>47</v>
      </c>
      <c r="D653" t="s">
        <v>54</v>
      </c>
      <c r="E653" s="2">
        <v>2.65</v>
      </c>
      <c r="F653" s="2">
        <v>3.95</v>
      </c>
      <c r="G653" s="3">
        <v>462</v>
      </c>
      <c r="H653" s="3">
        <v>120</v>
      </c>
      <c r="I653" s="3">
        <v>342</v>
      </c>
      <c r="J653" s="3">
        <v>105</v>
      </c>
      <c r="K653" t="s">
        <v>20</v>
      </c>
      <c r="L653" s="2">
        <f t="shared" si="30"/>
        <v>1.3000000000000003</v>
      </c>
      <c r="M653" s="2">
        <f t="shared" si="31"/>
        <v>474</v>
      </c>
      <c r="N653" s="2">
        <f t="shared" si="32"/>
        <v>156.00000000000003</v>
      </c>
    </row>
    <row r="654" spans="1:14">
      <c r="A654" t="s">
        <v>763</v>
      </c>
      <c r="B654" t="s">
        <v>202</v>
      </c>
      <c r="C654" t="s">
        <v>13</v>
      </c>
      <c r="D654" t="s">
        <v>100</v>
      </c>
      <c r="E654" s="2">
        <v>16.07</v>
      </c>
      <c r="F654" s="2">
        <v>29.1</v>
      </c>
      <c r="G654" s="3">
        <v>326</v>
      </c>
      <c r="H654" s="3">
        <v>295</v>
      </c>
      <c r="I654" s="3">
        <v>31</v>
      </c>
      <c r="J654" s="3">
        <v>33</v>
      </c>
      <c r="K654" t="s">
        <v>15</v>
      </c>
      <c r="L654" s="2">
        <f t="shared" si="30"/>
        <v>13.030000000000001</v>
      </c>
      <c r="M654" s="2">
        <f t="shared" si="31"/>
        <v>8584.5</v>
      </c>
      <c r="N654" s="2">
        <f t="shared" si="32"/>
        <v>3843.8500000000004</v>
      </c>
    </row>
    <row r="655" spans="1:14">
      <c r="A655" t="s">
        <v>764</v>
      </c>
      <c r="B655" t="s">
        <v>135</v>
      </c>
      <c r="C655" t="s">
        <v>18</v>
      </c>
      <c r="D655" t="s">
        <v>24</v>
      </c>
      <c r="E655" s="2">
        <v>15.91</v>
      </c>
      <c r="F655" s="2">
        <v>23.72</v>
      </c>
      <c r="G655" s="3">
        <v>419</v>
      </c>
      <c r="H655" s="3">
        <v>108</v>
      </c>
      <c r="I655" s="3">
        <v>311</v>
      </c>
      <c r="J655" s="3">
        <v>44</v>
      </c>
      <c r="K655" t="s">
        <v>20</v>
      </c>
      <c r="L655" s="2">
        <f t="shared" si="30"/>
        <v>7.8099999999999987</v>
      </c>
      <c r="M655" s="2">
        <f t="shared" si="31"/>
        <v>2561.7599999999998</v>
      </c>
      <c r="N655" s="2">
        <f t="shared" si="32"/>
        <v>843.4799999999999</v>
      </c>
    </row>
    <row r="656" spans="1:14">
      <c r="A656" t="s">
        <v>765</v>
      </c>
      <c r="B656" t="s">
        <v>251</v>
      </c>
      <c r="C656" t="s">
        <v>13</v>
      </c>
      <c r="D656" t="s">
        <v>24</v>
      </c>
      <c r="E656" s="2">
        <v>23.1</v>
      </c>
      <c r="F656" s="2">
        <v>35.700000000000003</v>
      </c>
      <c r="G656" s="3">
        <v>41</v>
      </c>
      <c r="H656" s="3">
        <v>37</v>
      </c>
      <c r="I656" s="3">
        <v>4</v>
      </c>
      <c r="J656" s="3">
        <v>4</v>
      </c>
      <c r="K656" t="s">
        <v>15</v>
      </c>
      <c r="L656" s="2">
        <f t="shared" si="30"/>
        <v>12.600000000000001</v>
      </c>
      <c r="M656" s="2">
        <f t="shared" si="31"/>
        <v>1320.9</v>
      </c>
      <c r="N656" s="2">
        <f t="shared" si="32"/>
        <v>466.20000000000005</v>
      </c>
    </row>
    <row r="657" spans="1:14">
      <c r="A657" t="s">
        <v>766</v>
      </c>
      <c r="B657" t="s">
        <v>227</v>
      </c>
      <c r="C657" t="s">
        <v>27</v>
      </c>
      <c r="D657" t="s">
        <v>100</v>
      </c>
      <c r="E657" s="2">
        <v>15.31</v>
      </c>
      <c r="F657" s="2">
        <v>27.61</v>
      </c>
      <c r="G657" s="3">
        <v>95</v>
      </c>
      <c r="H657" s="3">
        <v>84</v>
      </c>
      <c r="I657" s="3">
        <v>11</v>
      </c>
      <c r="J657" s="3">
        <v>12</v>
      </c>
      <c r="K657" t="s">
        <v>15</v>
      </c>
      <c r="L657" s="2">
        <f t="shared" si="30"/>
        <v>12.299999999999999</v>
      </c>
      <c r="M657" s="2">
        <f t="shared" si="31"/>
        <v>2319.2399999999998</v>
      </c>
      <c r="N657" s="2">
        <f t="shared" si="32"/>
        <v>1033.1999999999998</v>
      </c>
    </row>
    <row r="658" spans="1:14">
      <c r="A658" t="s">
        <v>767</v>
      </c>
      <c r="B658" t="s">
        <v>147</v>
      </c>
      <c r="C658" t="s">
        <v>33</v>
      </c>
      <c r="D658" t="s">
        <v>28</v>
      </c>
      <c r="E658" s="2">
        <v>11.82</v>
      </c>
      <c r="F658" s="2">
        <v>19.809999999999999</v>
      </c>
      <c r="G658" s="3">
        <v>259</v>
      </c>
      <c r="H658" s="3">
        <v>159</v>
      </c>
      <c r="I658" s="3">
        <v>100</v>
      </c>
      <c r="J658" s="3">
        <v>61</v>
      </c>
      <c r="K658" t="s">
        <v>20</v>
      </c>
      <c r="L658" s="2">
        <f t="shared" si="30"/>
        <v>7.9899999999999984</v>
      </c>
      <c r="M658" s="2">
        <f t="shared" si="31"/>
        <v>3149.79</v>
      </c>
      <c r="N658" s="2">
        <f t="shared" si="32"/>
        <v>1270.4099999999999</v>
      </c>
    </row>
    <row r="659" spans="1:14">
      <c r="A659" t="s">
        <v>768</v>
      </c>
      <c r="B659" t="s">
        <v>114</v>
      </c>
      <c r="C659" t="s">
        <v>53</v>
      </c>
      <c r="D659" t="s">
        <v>39</v>
      </c>
      <c r="E659" s="2">
        <v>33.409999999999997</v>
      </c>
      <c r="F659" s="2">
        <v>70.430000000000007</v>
      </c>
      <c r="G659" s="3">
        <v>499</v>
      </c>
      <c r="H659" s="3">
        <v>220</v>
      </c>
      <c r="I659" s="3">
        <v>279</v>
      </c>
      <c r="J659" s="3">
        <v>93</v>
      </c>
      <c r="K659" t="s">
        <v>20</v>
      </c>
      <c r="L659" s="2">
        <f t="shared" si="30"/>
        <v>37.02000000000001</v>
      </c>
      <c r="M659" s="2">
        <f t="shared" si="31"/>
        <v>15494.600000000002</v>
      </c>
      <c r="N659" s="2">
        <f t="shared" si="32"/>
        <v>8144.4000000000024</v>
      </c>
    </row>
    <row r="660" spans="1:14">
      <c r="A660" t="s">
        <v>769</v>
      </c>
      <c r="B660" t="s">
        <v>74</v>
      </c>
      <c r="C660" t="s">
        <v>23</v>
      </c>
      <c r="D660" t="s">
        <v>24</v>
      </c>
      <c r="E660" s="2">
        <v>24.57</v>
      </c>
      <c r="F660" s="2">
        <v>36.979999999999997</v>
      </c>
      <c r="G660" s="3">
        <v>213</v>
      </c>
      <c r="H660" s="3">
        <v>111</v>
      </c>
      <c r="I660" s="3">
        <v>102</v>
      </c>
      <c r="J660" s="3">
        <v>45</v>
      </c>
      <c r="K660" t="s">
        <v>20</v>
      </c>
      <c r="L660" s="2">
        <f t="shared" si="30"/>
        <v>12.409999999999997</v>
      </c>
      <c r="M660" s="2">
        <f t="shared" si="31"/>
        <v>4104.78</v>
      </c>
      <c r="N660" s="2">
        <f t="shared" si="32"/>
        <v>1377.5099999999995</v>
      </c>
    </row>
    <row r="661" spans="1:14">
      <c r="A661" t="s">
        <v>770</v>
      </c>
      <c r="B661" t="s">
        <v>141</v>
      </c>
      <c r="C661" t="s">
        <v>47</v>
      </c>
      <c r="D661" t="s">
        <v>42</v>
      </c>
      <c r="E661" s="2">
        <v>14.22</v>
      </c>
      <c r="F661" s="2">
        <v>26.29</v>
      </c>
      <c r="G661" s="3">
        <v>293</v>
      </c>
      <c r="H661" s="3">
        <v>161</v>
      </c>
      <c r="I661" s="3">
        <v>132</v>
      </c>
      <c r="J661" s="3">
        <v>35</v>
      </c>
      <c r="K661" t="s">
        <v>20</v>
      </c>
      <c r="L661" s="2">
        <f t="shared" si="30"/>
        <v>12.069999999999999</v>
      </c>
      <c r="M661" s="2">
        <f t="shared" si="31"/>
        <v>4232.6899999999996</v>
      </c>
      <c r="N661" s="2">
        <f t="shared" si="32"/>
        <v>1943.2699999999998</v>
      </c>
    </row>
    <row r="662" spans="1:14">
      <c r="A662" t="s">
        <v>771</v>
      </c>
      <c r="B662" t="s">
        <v>72</v>
      </c>
      <c r="C662" t="s">
        <v>27</v>
      </c>
      <c r="D662" t="s">
        <v>39</v>
      </c>
      <c r="E662" s="2">
        <v>12.43</v>
      </c>
      <c r="F662" s="2">
        <v>19.75</v>
      </c>
      <c r="G662" s="3">
        <v>404</v>
      </c>
      <c r="H662" s="3">
        <v>68</v>
      </c>
      <c r="I662" s="3">
        <v>336</v>
      </c>
      <c r="J662" s="3">
        <v>98</v>
      </c>
      <c r="K662" t="s">
        <v>20</v>
      </c>
      <c r="L662" s="2">
        <f t="shared" si="30"/>
        <v>7.32</v>
      </c>
      <c r="M662" s="2">
        <f t="shared" si="31"/>
        <v>1343</v>
      </c>
      <c r="N662" s="2">
        <f t="shared" si="32"/>
        <v>497.76</v>
      </c>
    </row>
    <row r="663" spans="1:14">
      <c r="A663" t="s">
        <v>772</v>
      </c>
      <c r="B663" t="s">
        <v>62</v>
      </c>
      <c r="C663" t="s">
        <v>13</v>
      </c>
      <c r="D663" t="s">
        <v>28</v>
      </c>
      <c r="E663" s="2">
        <v>24.93</v>
      </c>
      <c r="F663" s="2">
        <v>35.33</v>
      </c>
      <c r="G663" s="3">
        <v>143</v>
      </c>
      <c r="H663" s="3">
        <v>134</v>
      </c>
      <c r="I663" s="3">
        <v>9</v>
      </c>
      <c r="J663" s="3">
        <v>35</v>
      </c>
      <c r="K663" t="s">
        <v>15</v>
      </c>
      <c r="L663" s="2">
        <f t="shared" si="30"/>
        <v>10.399999999999999</v>
      </c>
      <c r="M663" s="2">
        <f t="shared" si="31"/>
        <v>4734.2199999999993</v>
      </c>
      <c r="N663" s="2">
        <f t="shared" si="32"/>
        <v>1393.6</v>
      </c>
    </row>
    <row r="664" spans="1:14">
      <c r="A664" t="s">
        <v>773</v>
      </c>
      <c r="B664" t="s">
        <v>102</v>
      </c>
      <c r="C664" t="s">
        <v>53</v>
      </c>
      <c r="D664" t="s">
        <v>24</v>
      </c>
      <c r="E664" s="2">
        <v>21.98</v>
      </c>
      <c r="F664" s="2">
        <v>29.07</v>
      </c>
      <c r="G664" s="3">
        <v>228</v>
      </c>
      <c r="H664" s="3">
        <v>110</v>
      </c>
      <c r="I664" s="3">
        <v>118</v>
      </c>
      <c r="J664" s="3">
        <v>23</v>
      </c>
      <c r="K664" t="s">
        <v>20</v>
      </c>
      <c r="L664" s="2">
        <f t="shared" si="30"/>
        <v>7.09</v>
      </c>
      <c r="M664" s="2">
        <f t="shared" si="31"/>
        <v>3197.7</v>
      </c>
      <c r="N664" s="2">
        <f t="shared" si="32"/>
        <v>779.9</v>
      </c>
    </row>
    <row r="665" spans="1:14">
      <c r="A665" t="s">
        <v>774</v>
      </c>
      <c r="B665" t="s">
        <v>32</v>
      </c>
      <c r="C665" t="s">
        <v>33</v>
      </c>
      <c r="D665" t="s">
        <v>24</v>
      </c>
      <c r="E665" s="2">
        <v>7.32</v>
      </c>
      <c r="F665" s="2">
        <v>11.21</v>
      </c>
      <c r="G665" s="3">
        <v>348</v>
      </c>
      <c r="H665" s="3">
        <v>328</v>
      </c>
      <c r="I665" s="3">
        <v>20</v>
      </c>
      <c r="J665" s="3">
        <v>37</v>
      </c>
      <c r="K665" t="s">
        <v>15</v>
      </c>
      <c r="L665" s="2">
        <f t="shared" si="30"/>
        <v>3.8900000000000006</v>
      </c>
      <c r="M665" s="2">
        <f t="shared" si="31"/>
        <v>3676.88</v>
      </c>
      <c r="N665" s="2">
        <f t="shared" si="32"/>
        <v>1275.92</v>
      </c>
    </row>
    <row r="666" spans="1:14">
      <c r="A666" t="s">
        <v>775</v>
      </c>
      <c r="B666" t="s">
        <v>46</v>
      </c>
      <c r="C666" t="s">
        <v>47</v>
      </c>
      <c r="D666" t="s">
        <v>77</v>
      </c>
      <c r="E666" s="2">
        <v>8.9600000000000009</v>
      </c>
      <c r="F666" s="2">
        <v>17.190000000000001</v>
      </c>
      <c r="G666" s="3">
        <v>413</v>
      </c>
      <c r="H666" s="3">
        <v>102</v>
      </c>
      <c r="I666" s="3">
        <v>311</v>
      </c>
      <c r="J666" s="3">
        <v>98</v>
      </c>
      <c r="K666" t="s">
        <v>20</v>
      </c>
      <c r="L666" s="2">
        <f t="shared" si="30"/>
        <v>8.23</v>
      </c>
      <c r="M666" s="2">
        <f t="shared" si="31"/>
        <v>1753.38</v>
      </c>
      <c r="N666" s="2">
        <f t="shared" si="32"/>
        <v>839.46</v>
      </c>
    </row>
    <row r="667" spans="1:14">
      <c r="A667" t="s">
        <v>776</v>
      </c>
      <c r="B667" t="s">
        <v>17</v>
      </c>
      <c r="C667" t="s">
        <v>18</v>
      </c>
      <c r="D667" t="s">
        <v>39</v>
      </c>
      <c r="E667" s="2">
        <v>11.25</v>
      </c>
      <c r="F667" s="2">
        <v>19.32</v>
      </c>
      <c r="G667" s="3">
        <v>388</v>
      </c>
      <c r="H667" s="3">
        <v>90</v>
      </c>
      <c r="I667" s="3">
        <v>298</v>
      </c>
      <c r="J667" s="3">
        <v>71</v>
      </c>
      <c r="K667" t="s">
        <v>20</v>
      </c>
      <c r="L667" s="2">
        <f t="shared" si="30"/>
        <v>8.07</v>
      </c>
      <c r="M667" s="2">
        <f t="shared" si="31"/>
        <v>1738.8</v>
      </c>
      <c r="N667" s="2">
        <f t="shared" si="32"/>
        <v>726.30000000000007</v>
      </c>
    </row>
    <row r="668" spans="1:14">
      <c r="A668" t="s">
        <v>777</v>
      </c>
      <c r="B668" t="s">
        <v>216</v>
      </c>
      <c r="C668" t="s">
        <v>23</v>
      </c>
      <c r="D668" t="s">
        <v>54</v>
      </c>
      <c r="E668" s="2">
        <v>7.94</v>
      </c>
      <c r="F668" s="2">
        <v>17.39</v>
      </c>
      <c r="G668" s="3">
        <v>162</v>
      </c>
      <c r="H668" s="3">
        <v>28</v>
      </c>
      <c r="I668" s="3">
        <v>134</v>
      </c>
      <c r="J668" s="3">
        <v>35</v>
      </c>
      <c r="K668" t="s">
        <v>20</v>
      </c>
      <c r="L668" s="2">
        <f t="shared" si="30"/>
        <v>9.4499999999999993</v>
      </c>
      <c r="M668" s="2">
        <f t="shared" si="31"/>
        <v>486.92</v>
      </c>
      <c r="N668" s="2">
        <f t="shared" si="32"/>
        <v>264.59999999999997</v>
      </c>
    </row>
    <row r="669" spans="1:14">
      <c r="A669" t="s">
        <v>778</v>
      </c>
      <c r="B669" t="s">
        <v>183</v>
      </c>
      <c r="C669" t="s">
        <v>53</v>
      </c>
      <c r="D669" t="s">
        <v>100</v>
      </c>
      <c r="E669" s="2">
        <v>32.729999999999997</v>
      </c>
      <c r="F669" s="2">
        <v>48.96</v>
      </c>
      <c r="G669" s="3">
        <v>399</v>
      </c>
      <c r="H669" s="3">
        <v>128</v>
      </c>
      <c r="I669" s="3">
        <v>271</v>
      </c>
      <c r="J669" s="3">
        <v>80</v>
      </c>
      <c r="K669" t="s">
        <v>20</v>
      </c>
      <c r="L669" s="2">
        <f t="shared" si="30"/>
        <v>16.230000000000004</v>
      </c>
      <c r="M669" s="2">
        <f t="shared" si="31"/>
        <v>6266.88</v>
      </c>
      <c r="N669" s="2">
        <f t="shared" si="32"/>
        <v>2077.4400000000005</v>
      </c>
    </row>
    <row r="670" spans="1:14">
      <c r="A670" t="s">
        <v>779</v>
      </c>
      <c r="B670" t="s">
        <v>272</v>
      </c>
      <c r="C670" t="s">
        <v>47</v>
      </c>
      <c r="D670" t="s">
        <v>77</v>
      </c>
      <c r="E670" s="2">
        <v>10.44</v>
      </c>
      <c r="F670" s="2">
        <v>15.98</v>
      </c>
      <c r="G670" s="3">
        <v>67</v>
      </c>
      <c r="H670" s="3">
        <v>13</v>
      </c>
      <c r="I670" s="3">
        <v>54</v>
      </c>
      <c r="J670" s="3">
        <v>11</v>
      </c>
      <c r="K670" t="s">
        <v>20</v>
      </c>
      <c r="L670" s="2">
        <f t="shared" si="30"/>
        <v>5.5400000000000009</v>
      </c>
      <c r="M670" s="2">
        <f t="shared" si="31"/>
        <v>207.74</v>
      </c>
      <c r="N670" s="2">
        <f t="shared" si="32"/>
        <v>72.02000000000001</v>
      </c>
    </row>
    <row r="671" spans="1:14">
      <c r="A671" t="s">
        <v>780</v>
      </c>
      <c r="B671" t="s">
        <v>259</v>
      </c>
      <c r="C671" t="s">
        <v>53</v>
      </c>
      <c r="D671" t="s">
        <v>100</v>
      </c>
      <c r="E671" s="2">
        <v>16.21</v>
      </c>
      <c r="F671" s="2">
        <v>25.2</v>
      </c>
      <c r="G671" s="3">
        <v>236</v>
      </c>
      <c r="H671" s="3">
        <v>41</v>
      </c>
      <c r="I671" s="3">
        <v>195</v>
      </c>
      <c r="J671" s="3">
        <v>58</v>
      </c>
      <c r="K671" t="s">
        <v>20</v>
      </c>
      <c r="L671" s="2">
        <f t="shared" si="30"/>
        <v>8.9899999999999984</v>
      </c>
      <c r="M671" s="2">
        <f t="shared" si="31"/>
        <v>1033.2</v>
      </c>
      <c r="N671" s="2">
        <f t="shared" si="32"/>
        <v>368.58999999999992</v>
      </c>
    </row>
    <row r="672" spans="1:14">
      <c r="A672" t="s">
        <v>781</v>
      </c>
      <c r="B672" t="s">
        <v>85</v>
      </c>
      <c r="C672" t="s">
        <v>27</v>
      </c>
      <c r="D672" t="s">
        <v>77</v>
      </c>
      <c r="E672" s="2">
        <v>13.29</v>
      </c>
      <c r="F672" s="2">
        <v>26.52</v>
      </c>
      <c r="G672" s="3">
        <v>219</v>
      </c>
      <c r="H672" s="3">
        <v>45</v>
      </c>
      <c r="I672" s="3">
        <v>174</v>
      </c>
      <c r="J672" s="3">
        <v>52</v>
      </c>
      <c r="K672" t="s">
        <v>20</v>
      </c>
      <c r="L672" s="2">
        <f t="shared" si="30"/>
        <v>13.23</v>
      </c>
      <c r="M672" s="2">
        <f t="shared" si="31"/>
        <v>1193.4000000000001</v>
      </c>
      <c r="N672" s="2">
        <f t="shared" si="32"/>
        <v>595.35</v>
      </c>
    </row>
    <row r="673" spans="1:14">
      <c r="A673" t="s">
        <v>782</v>
      </c>
      <c r="B673" t="s">
        <v>220</v>
      </c>
      <c r="C673" t="s">
        <v>23</v>
      </c>
      <c r="D673" t="s">
        <v>39</v>
      </c>
      <c r="E673" s="2">
        <v>15.6</v>
      </c>
      <c r="F673" s="2">
        <v>20.86</v>
      </c>
      <c r="G673" s="3">
        <v>471</v>
      </c>
      <c r="H673" s="3">
        <v>139</v>
      </c>
      <c r="I673" s="3">
        <v>332</v>
      </c>
      <c r="J673" s="3">
        <v>57</v>
      </c>
      <c r="K673" t="s">
        <v>20</v>
      </c>
      <c r="L673" s="2">
        <f t="shared" si="30"/>
        <v>5.26</v>
      </c>
      <c r="M673" s="2">
        <f t="shared" si="31"/>
        <v>2899.54</v>
      </c>
      <c r="N673" s="2">
        <f t="shared" si="32"/>
        <v>731.14</v>
      </c>
    </row>
    <row r="674" spans="1:14">
      <c r="A674" t="s">
        <v>783</v>
      </c>
      <c r="B674" t="s">
        <v>124</v>
      </c>
      <c r="C674" t="s">
        <v>88</v>
      </c>
      <c r="D674" t="s">
        <v>28</v>
      </c>
      <c r="E674" s="2">
        <v>57.82</v>
      </c>
      <c r="F674" s="2">
        <v>80.069999999999993</v>
      </c>
      <c r="G674" s="3">
        <v>235</v>
      </c>
      <c r="H674" s="3">
        <v>151</v>
      </c>
      <c r="I674" s="3">
        <v>84</v>
      </c>
      <c r="J674" s="3">
        <v>26</v>
      </c>
      <c r="K674" t="s">
        <v>20</v>
      </c>
      <c r="L674" s="2">
        <f t="shared" si="30"/>
        <v>22.249999999999993</v>
      </c>
      <c r="M674" s="2">
        <f t="shared" si="31"/>
        <v>12090.57</v>
      </c>
      <c r="N674" s="2">
        <f t="shared" si="32"/>
        <v>3359.7499999999991</v>
      </c>
    </row>
    <row r="675" spans="1:14">
      <c r="A675" t="s">
        <v>784</v>
      </c>
      <c r="B675" t="s">
        <v>387</v>
      </c>
      <c r="C675" t="s">
        <v>88</v>
      </c>
      <c r="D675" t="s">
        <v>100</v>
      </c>
      <c r="E675" s="2">
        <v>65.2</v>
      </c>
      <c r="F675" s="2">
        <v>131.63</v>
      </c>
      <c r="G675" s="3">
        <v>497</v>
      </c>
      <c r="H675" s="3">
        <v>432</v>
      </c>
      <c r="I675" s="3">
        <v>65</v>
      </c>
      <c r="J675" s="3">
        <v>76</v>
      </c>
      <c r="K675" t="s">
        <v>15</v>
      </c>
      <c r="L675" s="2">
        <f t="shared" si="30"/>
        <v>66.429999999999993</v>
      </c>
      <c r="M675" s="2">
        <f t="shared" si="31"/>
        <v>56864.159999999996</v>
      </c>
      <c r="N675" s="2">
        <f t="shared" si="32"/>
        <v>28697.759999999998</v>
      </c>
    </row>
    <row r="676" spans="1:14">
      <c r="A676" t="s">
        <v>785</v>
      </c>
      <c r="B676" t="s">
        <v>72</v>
      </c>
      <c r="C676" t="s">
        <v>27</v>
      </c>
      <c r="D676" t="s">
        <v>42</v>
      </c>
      <c r="E676" s="2">
        <v>6.8</v>
      </c>
      <c r="F676" s="2">
        <v>11.03</v>
      </c>
      <c r="G676" s="3">
        <v>252</v>
      </c>
      <c r="H676" s="3">
        <v>185</v>
      </c>
      <c r="I676" s="3">
        <v>67</v>
      </c>
      <c r="J676" s="3">
        <v>30</v>
      </c>
      <c r="K676" t="s">
        <v>20</v>
      </c>
      <c r="L676" s="2">
        <f t="shared" si="30"/>
        <v>4.2299999999999995</v>
      </c>
      <c r="M676" s="2">
        <f t="shared" si="31"/>
        <v>2040.55</v>
      </c>
      <c r="N676" s="2">
        <f t="shared" si="32"/>
        <v>782.55</v>
      </c>
    </row>
    <row r="677" spans="1:14">
      <c r="A677" t="s">
        <v>786</v>
      </c>
      <c r="B677" t="s">
        <v>167</v>
      </c>
      <c r="C677" t="s">
        <v>88</v>
      </c>
      <c r="D677" t="s">
        <v>19</v>
      </c>
      <c r="E677" s="2">
        <v>31.05</v>
      </c>
      <c r="F677" s="2">
        <v>43.23</v>
      </c>
      <c r="G677" s="3">
        <v>480</v>
      </c>
      <c r="H677" s="3">
        <v>357</v>
      </c>
      <c r="I677" s="3">
        <v>123</v>
      </c>
      <c r="J677" s="3">
        <v>119</v>
      </c>
      <c r="K677" t="s">
        <v>20</v>
      </c>
      <c r="L677" s="2">
        <f t="shared" si="30"/>
        <v>12.179999999999996</v>
      </c>
      <c r="M677" s="2">
        <f t="shared" si="31"/>
        <v>15433.109999999999</v>
      </c>
      <c r="N677" s="2">
        <f t="shared" si="32"/>
        <v>4348.2599999999984</v>
      </c>
    </row>
    <row r="678" spans="1:14">
      <c r="A678" t="s">
        <v>787</v>
      </c>
      <c r="B678" t="s">
        <v>259</v>
      </c>
      <c r="C678" t="s">
        <v>53</v>
      </c>
      <c r="D678" t="s">
        <v>77</v>
      </c>
      <c r="E678" s="2">
        <v>11.91</v>
      </c>
      <c r="F678" s="2">
        <v>21.88</v>
      </c>
      <c r="G678" s="3">
        <v>472</v>
      </c>
      <c r="H678" s="3">
        <v>397</v>
      </c>
      <c r="I678" s="3">
        <v>75</v>
      </c>
      <c r="J678" s="3">
        <v>66</v>
      </c>
      <c r="K678" t="s">
        <v>20</v>
      </c>
      <c r="L678" s="2">
        <f t="shared" si="30"/>
        <v>9.9699999999999989</v>
      </c>
      <c r="M678" s="2">
        <f t="shared" si="31"/>
        <v>8686.3599999999988</v>
      </c>
      <c r="N678" s="2">
        <f t="shared" si="32"/>
        <v>3958.0899999999997</v>
      </c>
    </row>
    <row r="679" spans="1:14">
      <c r="A679" t="s">
        <v>788</v>
      </c>
      <c r="B679" t="s">
        <v>37</v>
      </c>
      <c r="C679" t="s">
        <v>23</v>
      </c>
      <c r="D679" t="s">
        <v>14</v>
      </c>
      <c r="E679" s="2">
        <v>9.31</v>
      </c>
      <c r="F679" s="2">
        <v>12.53</v>
      </c>
      <c r="G679" s="3">
        <v>428</v>
      </c>
      <c r="H679" s="3">
        <v>293</v>
      </c>
      <c r="I679" s="3">
        <v>135</v>
      </c>
      <c r="J679" s="3">
        <v>52</v>
      </c>
      <c r="K679" t="s">
        <v>20</v>
      </c>
      <c r="L679" s="2">
        <f t="shared" si="30"/>
        <v>3.2199999999999989</v>
      </c>
      <c r="M679" s="2">
        <f t="shared" si="31"/>
        <v>3671.29</v>
      </c>
      <c r="N679" s="2">
        <f t="shared" si="32"/>
        <v>943.4599999999997</v>
      </c>
    </row>
    <row r="680" spans="1:14">
      <c r="A680" t="s">
        <v>789</v>
      </c>
      <c r="B680" t="s">
        <v>35</v>
      </c>
      <c r="C680" t="s">
        <v>13</v>
      </c>
      <c r="D680" t="s">
        <v>42</v>
      </c>
      <c r="E680" s="2">
        <v>4.93</v>
      </c>
      <c r="F680" s="2">
        <v>6.64</v>
      </c>
      <c r="G680" s="3">
        <v>239</v>
      </c>
      <c r="H680" s="3">
        <v>143</v>
      </c>
      <c r="I680" s="3">
        <v>96</v>
      </c>
      <c r="J680" s="3">
        <v>27</v>
      </c>
      <c r="K680" t="s">
        <v>20</v>
      </c>
      <c r="L680" s="2">
        <f t="shared" si="30"/>
        <v>1.71</v>
      </c>
      <c r="M680" s="2">
        <f t="shared" si="31"/>
        <v>949.52</v>
      </c>
      <c r="N680" s="2">
        <f t="shared" si="32"/>
        <v>244.53</v>
      </c>
    </row>
    <row r="681" spans="1:14">
      <c r="A681" t="s">
        <v>790</v>
      </c>
      <c r="B681" t="s">
        <v>141</v>
      </c>
      <c r="C681" t="s">
        <v>47</v>
      </c>
      <c r="D681" t="s">
        <v>77</v>
      </c>
      <c r="E681" s="2">
        <v>1.67</v>
      </c>
      <c r="F681" s="2">
        <v>3.08</v>
      </c>
      <c r="G681" s="3">
        <v>225</v>
      </c>
      <c r="H681" s="3">
        <v>147</v>
      </c>
      <c r="I681" s="3">
        <v>78</v>
      </c>
      <c r="J681" s="3">
        <v>27</v>
      </c>
      <c r="K681" t="s">
        <v>20</v>
      </c>
      <c r="L681" s="2">
        <f t="shared" si="30"/>
        <v>1.4100000000000001</v>
      </c>
      <c r="M681" s="2">
        <f t="shared" si="31"/>
        <v>452.76</v>
      </c>
      <c r="N681" s="2">
        <f t="shared" si="32"/>
        <v>207.27</v>
      </c>
    </row>
    <row r="682" spans="1:14">
      <c r="A682" t="s">
        <v>791</v>
      </c>
      <c r="B682" t="s">
        <v>272</v>
      </c>
      <c r="C682" t="s">
        <v>47</v>
      </c>
      <c r="D682" t="s">
        <v>28</v>
      </c>
      <c r="E682" s="2">
        <v>8.4600000000000009</v>
      </c>
      <c r="F682" s="2">
        <v>14.7</v>
      </c>
      <c r="G682" s="3">
        <v>461</v>
      </c>
      <c r="H682" s="3">
        <v>214</v>
      </c>
      <c r="I682" s="3">
        <v>247</v>
      </c>
      <c r="J682" s="3">
        <v>70</v>
      </c>
      <c r="K682" t="s">
        <v>20</v>
      </c>
      <c r="L682" s="2">
        <f t="shared" si="30"/>
        <v>6.2399999999999984</v>
      </c>
      <c r="M682" s="2">
        <f t="shared" si="31"/>
        <v>3145.7999999999997</v>
      </c>
      <c r="N682" s="2">
        <f t="shared" si="32"/>
        <v>1335.3599999999997</v>
      </c>
    </row>
    <row r="683" spans="1:14">
      <c r="A683" t="s">
        <v>792</v>
      </c>
      <c r="B683" t="s">
        <v>299</v>
      </c>
      <c r="C683" t="s">
        <v>13</v>
      </c>
      <c r="D683" t="s">
        <v>14</v>
      </c>
      <c r="E683" s="2">
        <v>22.04</v>
      </c>
      <c r="F683" s="2">
        <v>46.64</v>
      </c>
      <c r="G683" s="3">
        <v>135</v>
      </c>
      <c r="H683" s="3">
        <v>67</v>
      </c>
      <c r="I683" s="3">
        <v>68</v>
      </c>
      <c r="J683" s="3">
        <v>17</v>
      </c>
      <c r="K683" t="s">
        <v>20</v>
      </c>
      <c r="L683" s="2">
        <f t="shared" si="30"/>
        <v>24.6</v>
      </c>
      <c r="M683" s="2">
        <f t="shared" si="31"/>
        <v>3124.88</v>
      </c>
      <c r="N683" s="2">
        <f t="shared" si="32"/>
        <v>1648.2</v>
      </c>
    </row>
    <row r="684" spans="1:14">
      <c r="A684" t="s">
        <v>793</v>
      </c>
      <c r="B684" t="s">
        <v>135</v>
      </c>
      <c r="C684" t="s">
        <v>18</v>
      </c>
      <c r="D684" t="s">
        <v>42</v>
      </c>
      <c r="E684" s="2">
        <v>10.19</v>
      </c>
      <c r="F684" s="2">
        <v>17.78</v>
      </c>
      <c r="G684" s="3">
        <v>288</v>
      </c>
      <c r="H684" s="3">
        <v>205</v>
      </c>
      <c r="I684" s="3">
        <v>83</v>
      </c>
      <c r="J684" s="3">
        <v>43</v>
      </c>
      <c r="K684" t="s">
        <v>20</v>
      </c>
      <c r="L684" s="2">
        <f t="shared" si="30"/>
        <v>7.5900000000000016</v>
      </c>
      <c r="M684" s="2">
        <f t="shared" si="31"/>
        <v>3644.9</v>
      </c>
      <c r="N684" s="2">
        <f t="shared" si="32"/>
        <v>1555.9500000000003</v>
      </c>
    </row>
    <row r="685" spans="1:14">
      <c r="A685" t="s">
        <v>794</v>
      </c>
      <c r="B685" t="s">
        <v>41</v>
      </c>
      <c r="C685" t="s">
        <v>23</v>
      </c>
      <c r="D685" t="s">
        <v>14</v>
      </c>
      <c r="E685" s="2">
        <v>19.809999999999999</v>
      </c>
      <c r="F685" s="2">
        <v>36.130000000000003</v>
      </c>
      <c r="G685" s="3">
        <v>356</v>
      </c>
      <c r="H685" s="3">
        <v>237</v>
      </c>
      <c r="I685" s="3">
        <v>119</v>
      </c>
      <c r="J685" s="3">
        <v>84</v>
      </c>
      <c r="K685" t="s">
        <v>20</v>
      </c>
      <c r="L685" s="2">
        <f t="shared" si="30"/>
        <v>16.320000000000004</v>
      </c>
      <c r="M685" s="2">
        <f t="shared" si="31"/>
        <v>8562.8100000000013</v>
      </c>
      <c r="N685" s="2">
        <f t="shared" si="32"/>
        <v>3867.8400000000011</v>
      </c>
    </row>
    <row r="686" spans="1:14">
      <c r="A686" t="s">
        <v>795</v>
      </c>
      <c r="B686" t="s">
        <v>64</v>
      </c>
      <c r="C686" t="s">
        <v>18</v>
      </c>
      <c r="D686" t="s">
        <v>39</v>
      </c>
      <c r="E686" s="2">
        <v>9.89</v>
      </c>
      <c r="F686" s="2">
        <v>20.11</v>
      </c>
      <c r="G686" s="3">
        <v>494</v>
      </c>
      <c r="H686" s="3">
        <v>204</v>
      </c>
      <c r="I686" s="3">
        <v>290</v>
      </c>
      <c r="J686" s="3">
        <v>89</v>
      </c>
      <c r="K686" t="s">
        <v>20</v>
      </c>
      <c r="L686" s="2">
        <f t="shared" si="30"/>
        <v>10.219999999999999</v>
      </c>
      <c r="M686" s="2">
        <f t="shared" si="31"/>
        <v>4102.4399999999996</v>
      </c>
      <c r="N686" s="2">
        <f t="shared" si="32"/>
        <v>2084.8799999999997</v>
      </c>
    </row>
    <row r="687" spans="1:14">
      <c r="A687" t="s">
        <v>796</v>
      </c>
      <c r="B687" t="s">
        <v>62</v>
      </c>
      <c r="C687" t="s">
        <v>13</v>
      </c>
      <c r="D687" t="s">
        <v>14</v>
      </c>
      <c r="E687" s="2">
        <v>23.36</v>
      </c>
      <c r="F687" s="2">
        <v>31.68</v>
      </c>
      <c r="G687" s="3">
        <v>89</v>
      </c>
      <c r="H687" s="3">
        <v>27</v>
      </c>
      <c r="I687" s="3">
        <v>62</v>
      </c>
      <c r="J687" s="3">
        <v>19</v>
      </c>
      <c r="K687" t="s">
        <v>20</v>
      </c>
      <c r="L687" s="2">
        <f t="shared" si="30"/>
        <v>8.32</v>
      </c>
      <c r="M687" s="2">
        <f t="shared" si="31"/>
        <v>855.36</v>
      </c>
      <c r="N687" s="2">
        <f t="shared" si="32"/>
        <v>224.64000000000001</v>
      </c>
    </row>
    <row r="688" spans="1:14">
      <c r="A688" t="s">
        <v>797</v>
      </c>
      <c r="B688" t="s">
        <v>126</v>
      </c>
      <c r="C688" t="s">
        <v>23</v>
      </c>
      <c r="D688" t="s">
        <v>24</v>
      </c>
      <c r="E688" s="2">
        <v>7.94</v>
      </c>
      <c r="F688" s="2">
        <v>14.96</v>
      </c>
      <c r="G688" s="3">
        <v>153</v>
      </c>
      <c r="H688" s="3">
        <v>104</v>
      </c>
      <c r="I688" s="3">
        <v>49</v>
      </c>
      <c r="J688" s="3">
        <v>20</v>
      </c>
      <c r="K688" t="s">
        <v>20</v>
      </c>
      <c r="L688" s="2">
        <f t="shared" si="30"/>
        <v>7.0200000000000005</v>
      </c>
      <c r="M688" s="2">
        <f t="shared" si="31"/>
        <v>1555.8400000000001</v>
      </c>
      <c r="N688" s="2">
        <f t="shared" si="32"/>
        <v>730.08</v>
      </c>
    </row>
    <row r="689" spans="1:14">
      <c r="A689" t="s">
        <v>798</v>
      </c>
      <c r="B689" t="s">
        <v>156</v>
      </c>
      <c r="C689" t="s">
        <v>47</v>
      </c>
      <c r="D689" t="s">
        <v>77</v>
      </c>
      <c r="E689" s="2">
        <v>9.7899999999999991</v>
      </c>
      <c r="F689" s="2">
        <v>20.59</v>
      </c>
      <c r="G689" s="3">
        <v>449</v>
      </c>
      <c r="H689" s="3">
        <v>243</v>
      </c>
      <c r="I689" s="3">
        <v>206</v>
      </c>
      <c r="J689" s="3">
        <v>110</v>
      </c>
      <c r="K689" t="s">
        <v>20</v>
      </c>
      <c r="L689" s="2">
        <f t="shared" si="30"/>
        <v>10.8</v>
      </c>
      <c r="M689" s="2">
        <f t="shared" si="31"/>
        <v>5003.37</v>
      </c>
      <c r="N689" s="2">
        <f t="shared" si="32"/>
        <v>2624.4</v>
      </c>
    </row>
    <row r="690" spans="1:14">
      <c r="A690" t="s">
        <v>799</v>
      </c>
      <c r="B690" t="s">
        <v>251</v>
      </c>
      <c r="C690" t="s">
        <v>13</v>
      </c>
      <c r="D690" t="s">
        <v>77</v>
      </c>
      <c r="E690" s="2">
        <v>16.72</v>
      </c>
      <c r="F690" s="2">
        <v>36.22</v>
      </c>
      <c r="G690" s="3">
        <v>27</v>
      </c>
      <c r="H690" s="3">
        <v>7</v>
      </c>
      <c r="I690" s="3">
        <v>20</v>
      </c>
      <c r="J690" s="3">
        <v>6</v>
      </c>
      <c r="K690" t="s">
        <v>20</v>
      </c>
      <c r="L690" s="2">
        <f t="shared" si="30"/>
        <v>19.5</v>
      </c>
      <c r="M690" s="2">
        <f t="shared" si="31"/>
        <v>253.54</v>
      </c>
      <c r="N690" s="2">
        <f t="shared" si="32"/>
        <v>136.5</v>
      </c>
    </row>
    <row r="691" spans="1:14">
      <c r="A691" t="s">
        <v>800</v>
      </c>
      <c r="B691" t="s">
        <v>58</v>
      </c>
      <c r="C691" t="s">
        <v>18</v>
      </c>
      <c r="D691" t="s">
        <v>28</v>
      </c>
      <c r="E691" s="2">
        <v>10.029999999999999</v>
      </c>
      <c r="F691" s="2">
        <v>13.42</v>
      </c>
      <c r="G691" s="3">
        <v>172</v>
      </c>
      <c r="H691" s="3">
        <v>154</v>
      </c>
      <c r="I691" s="3">
        <v>18</v>
      </c>
      <c r="J691" s="3">
        <v>32</v>
      </c>
      <c r="K691" t="s">
        <v>15</v>
      </c>
      <c r="L691" s="2">
        <f t="shared" si="30"/>
        <v>3.3900000000000006</v>
      </c>
      <c r="M691" s="2">
        <f t="shared" si="31"/>
        <v>2066.6799999999998</v>
      </c>
      <c r="N691" s="2">
        <f t="shared" si="32"/>
        <v>522.06000000000006</v>
      </c>
    </row>
    <row r="692" spans="1:14">
      <c r="A692" t="s">
        <v>801</v>
      </c>
      <c r="B692" t="s">
        <v>156</v>
      </c>
      <c r="C692" t="s">
        <v>47</v>
      </c>
      <c r="D692" t="s">
        <v>48</v>
      </c>
      <c r="E692" s="2">
        <v>2.0499999999999998</v>
      </c>
      <c r="F692" s="2">
        <v>4.16</v>
      </c>
      <c r="G692" s="3">
        <v>196</v>
      </c>
      <c r="H692" s="3">
        <v>99</v>
      </c>
      <c r="I692" s="3">
        <v>97</v>
      </c>
      <c r="J692" s="3">
        <v>22</v>
      </c>
      <c r="K692" t="s">
        <v>20</v>
      </c>
      <c r="L692" s="2">
        <f t="shared" si="30"/>
        <v>2.1100000000000003</v>
      </c>
      <c r="M692" s="2">
        <f t="shared" si="31"/>
        <v>411.84000000000003</v>
      </c>
      <c r="N692" s="2">
        <f t="shared" si="32"/>
        <v>208.89000000000004</v>
      </c>
    </row>
    <row r="693" spans="1:14">
      <c r="A693" t="s">
        <v>802</v>
      </c>
      <c r="B693" t="s">
        <v>190</v>
      </c>
      <c r="C693" t="s">
        <v>18</v>
      </c>
      <c r="D693" t="s">
        <v>42</v>
      </c>
      <c r="E693" s="2">
        <v>19.22</v>
      </c>
      <c r="F693" s="2">
        <v>28.86</v>
      </c>
      <c r="G693" s="3">
        <v>449</v>
      </c>
      <c r="H693" s="3">
        <v>378</v>
      </c>
      <c r="I693" s="3">
        <v>71</v>
      </c>
      <c r="J693" s="3">
        <v>74</v>
      </c>
      <c r="K693" t="s">
        <v>15</v>
      </c>
      <c r="L693" s="2">
        <f t="shared" si="30"/>
        <v>9.64</v>
      </c>
      <c r="M693" s="2">
        <f t="shared" si="31"/>
        <v>10909.08</v>
      </c>
      <c r="N693" s="2">
        <f t="shared" si="32"/>
        <v>3643.92</v>
      </c>
    </row>
    <row r="694" spans="1:14">
      <c r="A694" t="s">
        <v>803</v>
      </c>
      <c r="B694" t="s">
        <v>46</v>
      </c>
      <c r="C694" t="s">
        <v>47</v>
      </c>
      <c r="D694" t="s">
        <v>77</v>
      </c>
      <c r="E694" s="2">
        <v>13.24</v>
      </c>
      <c r="F694" s="2">
        <v>24.79</v>
      </c>
      <c r="G694" s="3">
        <v>87</v>
      </c>
      <c r="H694" s="3">
        <v>75</v>
      </c>
      <c r="I694" s="3">
        <v>12</v>
      </c>
      <c r="J694" s="3">
        <v>16</v>
      </c>
      <c r="K694" t="s">
        <v>15</v>
      </c>
      <c r="L694" s="2">
        <f t="shared" si="30"/>
        <v>11.549999999999999</v>
      </c>
      <c r="M694" s="2">
        <f t="shared" si="31"/>
        <v>1859.25</v>
      </c>
      <c r="N694" s="2">
        <f t="shared" si="32"/>
        <v>866.24999999999989</v>
      </c>
    </row>
    <row r="695" spans="1:14">
      <c r="A695" t="s">
        <v>804</v>
      </c>
      <c r="B695" t="s">
        <v>85</v>
      </c>
      <c r="C695" t="s">
        <v>27</v>
      </c>
      <c r="D695" t="s">
        <v>39</v>
      </c>
      <c r="E695" s="2">
        <v>24.55</v>
      </c>
      <c r="F695" s="2">
        <v>36.31</v>
      </c>
      <c r="G695" s="3">
        <v>151</v>
      </c>
      <c r="H695" s="3">
        <v>72</v>
      </c>
      <c r="I695" s="3">
        <v>79</v>
      </c>
      <c r="J695" s="3">
        <v>28</v>
      </c>
      <c r="K695" t="s">
        <v>20</v>
      </c>
      <c r="L695" s="2">
        <f t="shared" si="30"/>
        <v>11.760000000000002</v>
      </c>
      <c r="M695" s="2">
        <f t="shared" si="31"/>
        <v>2614.3200000000002</v>
      </c>
      <c r="N695" s="2">
        <f t="shared" si="32"/>
        <v>846.72000000000014</v>
      </c>
    </row>
    <row r="696" spans="1:14">
      <c r="A696" t="s">
        <v>805</v>
      </c>
      <c r="B696" t="s">
        <v>183</v>
      </c>
      <c r="C696" t="s">
        <v>53</v>
      </c>
      <c r="D696" t="s">
        <v>39</v>
      </c>
      <c r="E696" s="2">
        <v>9.0500000000000007</v>
      </c>
      <c r="F696" s="2">
        <v>16.64</v>
      </c>
      <c r="G696" s="3">
        <v>426</v>
      </c>
      <c r="H696" s="3">
        <v>238</v>
      </c>
      <c r="I696" s="3">
        <v>188</v>
      </c>
      <c r="J696" s="3">
        <v>53</v>
      </c>
      <c r="K696" t="s">
        <v>20</v>
      </c>
      <c r="L696" s="2">
        <f t="shared" si="30"/>
        <v>7.59</v>
      </c>
      <c r="M696" s="2">
        <f t="shared" si="31"/>
        <v>3960.32</v>
      </c>
      <c r="N696" s="2">
        <f t="shared" si="32"/>
        <v>1806.42</v>
      </c>
    </row>
    <row r="697" spans="1:14">
      <c r="A697" t="s">
        <v>806</v>
      </c>
      <c r="B697" t="s">
        <v>259</v>
      </c>
      <c r="C697" t="s">
        <v>53</v>
      </c>
      <c r="D697" t="s">
        <v>14</v>
      </c>
      <c r="E697" s="2">
        <v>9.81</v>
      </c>
      <c r="F697" s="2">
        <v>13.58</v>
      </c>
      <c r="G697" s="3">
        <v>185</v>
      </c>
      <c r="H697" s="3">
        <v>73</v>
      </c>
      <c r="I697" s="3">
        <v>112</v>
      </c>
      <c r="J697" s="3">
        <v>40</v>
      </c>
      <c r="K697" t="s">
        <v>20</v>
      </c>
      <c r="L697" s="2">
        <f t="shared" si="30"/>
        <v>3.7699999999999996</v>
      </c>
      <c r="M697" s="2">
        <f t="shared" si="31"/>
        <v>991.34</v>
      </c>
      <c r="N697" s="2">
        <f t="shared" si="32"/>
        <v>275.20999999999998</v>
      </c>
    </row>
    <row r="698" spans="1:14">
      <c r="A698" t="s">
        <v>807</v>
      </c>
      <c r="B698" t="s">
        <v>179</v>
      </c>
      <c r="C698" t="s">
        <v>53</v>
      </c>
      <c r="D698" t="s">
        <v>42</v>
      </c>
      <c r="E698" s="2">
        <v>13.99</v>
      </c>
      <c r="F698" s="2">
        <v>29.16</v>
      </c>
      <c r="G698" s="3">
        <v>387</v>
      </c>
      <c r="H698" s="3">
        <v>332</v>
      </c>
      <c r="I698" s="3">
        <v>55</v>
      </c>
      <c r="J698" s="3">
        <v>55</v>
      </c>
      <c r="K698" t="s">
        <v>15</v>
      </c>
      <c r="L698" s="2">
        <f t="shared" si="30"/>
        <v>15.17</v>
      </c>
      <c r="M698" s="2">
        <f t="shared" si="31"/>
        <v>9681.1200000000008</v>
      </c>
      <c r="N698" s="2">
        <f t="shared" si="32"/>
        <v>5036.4399999999996</v>
      </c>
    </row>
    <row r="699" spans="1:14">
      <c r="A699" t="s">
        <v>808</v>
      </c>
      <c r="B699" t="s">
        <v>387</v>
      </c>
      <c r="C699" t="s">
        <v>88</v>
      </c>
      <c r="D699" t="s">
        <v>100</v>
      </c>
      <c r="E699" s="2">
        <v>45.19</v>
      </c>
      <c r="F699" s="2">
        <v>87.7</v>
      </c>
      <c r="G699" s="3">
        <v>160</v>
      </c>
      <c r="H699" s="3">
        <v>100</v>
      </c>
      <c r="I699" s="3">
        <v>60</v>
      </c>
      <c r="J699" s="3">
        <v>20</v>
      </c>
      <c r="K699" t="s">
        <v>20</v>
      </c>
      <c r="L699" s="2">
        <f t="shared" si="30"/>
        <v>42.510000000000005</v>
      </c>
      <c r="M699" s="2">
        <f t="shared" si="31"/>
        <v>8770</v>
      </c>
      <c r="N699" s="2">
        <f t="shared" si="32"/>
        <v>4251.0000000000009</v>
      </c>
    </row>
    <row r="700" spans="1:14">
      <c r="A700" t="s">
        <v>809</v>
      </c>
      <c r="B700" t="s">
        <v>116</v>
      </c>
      <c r="C700" t="s">
        <v>23</v>
      </c>
      <c r="D700" t="s">
        <v>77</v>
      </c>
      <c r="E700" s="2">
        <v>8.74</v>
      </c>
      <c r="F700" s="2">
        <v>18.95</v>
      </c>
      <c r="G700" s="3">
        <v>21</v>
      </c>
      <c r="H700" s="3">
        <v>15</v>
      </c>
      <c r="I700" s="3">
        <v>6</v>
      </c>
      <c r="J700" s="3">
        <v>3</v>
      </c>
      <c r="K700" t="s">
        <v>20</v>
      </c>
      <c r="L700" s="2">
        <f t="shared" si="30"/>
        <v>10.209999999999999</v>
      </c>
      <c r="M700" s="2">
        <f t="shared" si="31"/>
        <v>284.25</v>
      </c>
      <c r="N700" s="2">
        <f t="shared" si="32"/>
        <v>153.14999999999998</v>
      </c>
    </row>
    <row r="701" spans="1:14">
      <c r="A701" t="s">
        <v>810</v>
      </c>
      <c r="B701" t="s">
        <v>35</v>
      </c>
      <c r="C701" t="s">
        <v>13</v>
      </c>
      <c r="D701" t="s">
        <v>24</v>
      </c>
      <c r="E701" s="2">
        <v>27.61</v>
      </c>
      <c r="F701" s="2">
        <v>56.91</v>
      </c>
      <c r="G701" s="3">
        <v>338</v>
      </c>
      <c r="H701" s="3">
        <v>181</v>
      </c>
      <c r="I701" s="3">
        <v>157</v>
      </c>
      <c r="J701" s="3">
        <v>78</v>
      </c>
      <c r="K701" t="s">
        <v>20</v>
      </c>
      <c r="L701" s="2">
        <f t="shared" si="30"/>
        <v>29.299999999999997</v>
      </c>
      <c r="M701" s="2">
        <f t="shared" si="31"/>
        <v>10300.709999999999</v>
      </c>
      <c r="N701" s="2">
        <f t="shared" si="32"/>
        <v>5303.2999999999993</v>
      </c>
    </row>
    <row r="702" spans="1:14">
      <c r="A702" t="s">
        <v>811</v>
      </c>
      <c r="B702" t="s">
        <v>22</v>
      </c>
      <c r="C702" t="s">
        <v>23</v>
      </c>
      <c r="D702" t="s">
        <v>54</v>
      </c>
      <c r="E702" s="2">
        <v>8.0500000000000007</v>
      </c>
      <c r="F702" s="2">
        <v>10.7</v>
      </c>
      <c r="G702" s="3">
        <v>288</v>
      </c>
      <c r="H702" s="3">
        <v>37</v>
      </c>
      <c r="I702" s="3">
        <v>251</v>
      </c>
      <c r="J702" s="3">
        <v>68</v>
      </c>
      <c r="K702" t="s">
        <v>20</v>
      </c>
      <c r="L702" s="2">
        <f t="shared" si="30"/>
        <v>2.6499999999999986</v>
      </c>
      <c r="M702" s="2">
        <f t="shared" si="31"/>
        <v>395.9</v>
      </c>
      <c r="N702" s="2">
        <f t="shared" si="32"/>
        <v>98.049999999999955</v>
      </c>
    </row>
    <row r="703" spans="1:14">
      <c r="A703" t="s">
        <v>812</v>
      </c>
      <c r="B703" t="s">
        <v>22</v>
      </c>
      <c r="C703" t="s">
        <v>23</v>
      </c>
      <c r="D703" t="s">
        <v>48</v>
      </c>
      <c r="E703" s="2">
        <v>15.07</v>
      </c>
      <c r="F703" s="2">
        <v>27.59</v>
      </c>
      <c r="G703" s="3">
        <v>223</v>
      </c>
      <c r="H703" s="3">
        <v>70</v>
      </c>
      <c r="I703" s="3">
        <v>153</v>
      </c>
      <c r="J703" s="3">
        <v>32</v>
      </c>
      <c r="K703" t="s">
        <v>20</v>
      </c>
      <c r="L703" s="2">
        <f t="shared" si="30"/>
        <v>12.52</v>
      </c>
      <c r="M703" s="2">
        <f t="shared" si="31"/>
        <v>1931.3</v>
      </c>
      <c r="N703" s="2">
        <f t="shared" si="32"/>
        <v>876.4</v>
      </c>
    </row>
    <row r="704" spans="1:14">
      <c r="A704" t="s">
        <v>813</v>
      </c>
      <c r="B704" t="s">
        <v>169</v>
      </c>
      <c r="C704" t="s">
        <v>53</v>
      </c>
      <c r="D704" t="s">
        <v>28</v>
      </c>
      <c r="E704" s="2">
        <v>6.9</v>
      </c>
      <c r="F704" s="2">
        <v>10.14</v>
      </c>
      <c r="G704" s="3">
        <v>205</v>
      </c>
      <c r="H704" s="3">
        <v>107</v>
      </c>
      <c r="I704" s="3">
        <v>98</v>
      </c>
      <c r="J704" s="3">
        <v>21</v>
      </c>
      <c r="K704" t="s">
        <v>20</v>
      </c>
      <c r="L704" s="2">
        <f t="shared" si="30"/>
        <v>3.24</v>
      </c>
      <c r="M704" s="2">
        <f t="shared" si="31"/>
        <v>1084.98</v>
      </c>
      <c r="N704" s="2">
        <f t="shared" si="32"/>
        <v>346.68</v>
      </c>
    </row>
    <row r="705" spans="1:14">
      <c r="A705" t="s">
        <v>814</v>
      </c>
      <c r="B705" t="s">
        <v>202</v>
      </c>
      <c r="C705" t="s">
        <v>13</v>
      </c>
      <c r="D705" t="s">
        <v>48</v>
      </c>
      <c r="E705" s="2">
        <v>26.38</v>
      </c>
      <c r="F705" s="2">
        <v>49.78</v>
      </c>
      <c r="G705" s="3">
        <v>33</v>
      </c>
      <c r="H705" s="3">
        <v>28</v>
      </c>
      <c r="I705" s="3">
        <v>5</v>
      </c>
      <c r="J705" s="3">
        <v>8</v>
      </c>
      <c r="K705" t="s">
        <v>15</v>
      </c>
      <c r="L705" s="2">
        <f t="shared" si="30"/>
        <v>23.400000000000002</v>
      </c>
      <c r="M705" s="2">
        <f t="shared" si="31"/>
        <v>1393.8400000000001</v>
      </c>
      <c r="N705" s="2">
        <f t="shared" si="32"/>
        <v>655.20000000000005</v>
      </c>
    </row>
    <row r="706" spans="1:14">
      <c r="A706" t="s">
        <v>815</v>
      </c>
      <c r="B706" t="s">
        <v>135</v>
      </c>
      <c r="C706" t="s">
        <v>18</v>
      </c>
      <c r="D706" t="s">
        <v>54</v>
      </c>
      <c r="E706" s="2">
        <v>17.53</v>
      </c>
      <c r="F706" s="2">
        <v>35.6</v>
      </c>
      <c r="G706" s="3">
        <v>238</v>
      </c>
      <c r="H706" s="3">
        <v>156</v>
      </c>
      <c r="I706" s="3">
        <v>82</v>
      </c>
      <c r="J706" s="3">
        <v>27</v>
      </c>
      <c r="K706" t="s">
        <v>20</v>
      </c>
      <c r="L706" s="2">
        <f t="shared" si="30"/>
        <v>18.07</v>
      </c>
      <c r="M706" s="2">
        <f t="shared" si="31"/>
        <v>5553.6</v>
      </c>
      <c r="N706" s="2">
        <f t="shared" si="32"/>
        <v>2818.92</v>
      </c>
    </row>
    <row r="707" spans="1:14">
      <c r="A707" t="s">
        <v>816</v>
      </c>
      <c r="B707" t="s">
        <v>151</v>
      </c>
      <c r="C707" t="s">
        <v>53</v>
      </c>
      <c r="D707" t="s">
        <v>54</v>
      </c>
      <c r="E707" s="2">
        <v>24.03</v>
      </c>
      <c r="F707" s="2">
        <v>45.7</v>
      </c>
      <c r="G707" s="3">
        <v>249</v>
      </c>
      <c r="H707" s="3">
        <v>46</v>
      </c>
      <c r="I707" s="3">
        <v>203</v>
      </c>
      <c r="J707" s="3">
        <v>27</v>
      </c>
      <c r="K707" t="s">
        <v>20</v>
      </c>
      <c r="L707" s="2">
        <f t="shared" ref="L707:L770" si="33">F707-E707</f>
        <v>21.67</v>
      </c>
      <c r="M707" s="2">
        <f t="shared" ref="M707:M770" si="34">H707*F707</f>
        <v>2102.2000000000003</v>
      </c>
      <c r="N707" s="2">
        <f t="shared" ref="N707:N770" si="35">H707*L707</f>
        <v>996.82</v>
      </c>
    </row>
    <row r="708" spans="1:14">
      <c r="A708" t="s">
        <v>817</v>
      </c>
      <c r="B708" t="s">
        <v>26</v>
      </c>
      <c r="C708" t="s">
        <v>27</v>
      </c>
      <c r="D708" t="s">
        <v>54</v>
      </c>
      <c r="E708" s="2">
        <v>16.329999999999998</v>
      </c>
      <c r="F708" s="2">
        <v>34.049999999999997</v>
      </c>
      <c r="G708" s="3">
        <v>410</v>
      </c>
      <c r="H708" s="3">
        <v>231</v>
      </c>
      <c r="I708" s="3">
        <v>179</v>
      </c>
      <c r="J708" s="3">
        <v>84</v>
      </c>
      <c r="K708" t="s">
        <v>20</v>
      </c>
      <c r="L708" s="2">
        <f t="shared" si="33"/>
        <v>17.72</v>
      </c>
      <c r="M708" s="2">
        <f t="shared" si="34"/>
        <v>7865.5499999999993</v>
      </c>
      <c r="N708" s="2">
        <f t="shared" si="35"/>
        <v>4093.3199999999997</v>
      </c>
    </row>
    <row r="709" spans="1:14">
      <c r="A709" t="s">
        <v>818</v>
      </c>
      <c r="B709" t="s">
        <v>62</v>
      </c>
      <c r="C709" t="s">
        <v>13</v>
      </c>
      <c r="D709" t="s">
        <v>39</v>
      </c>
      <c r="E709" s="2">
        <v>27.91</v>
      </c>
      <c r="F709" s="2">
        <v>49.2</v>
      </c>
      <c r="G709" s="3">
        <v>204</v>
      </c>
      <c r="H709" s="3">
        <v>189</v>
      </c>
      <c r="I709" s="3">
        <v>15</v>
      </c>
      <c r="J709" s="3">
        <v>44</v>
      </c>
      <c r="K709" t="s">
        <v>15</v>
      </c>
      <c r="L709" s="2">
        <f t="shared" si="33"/>
        <v>21.290000000000003</v>
      </c>
      <c r="M709" s="2">
        <f t="shared" si="34"/>
        <v>9298.8000000000011</v>
      </c>
      <c r="N709" s="2">
        <f t="shared" si="35"/>
        <v>4023.8100000000004</v>
      </c>
    </row>
    <row r="710" spans="1:14">
      <c r="A710" t="s">
        <v>819</v>
      </c>
      <c r="B710" t="s">
        <v>141</v>
      </c>
      <c r="C710" t="s">
        <v>47</v>
      </c>
      <c r="D710" t="s">
        <v>19</v>
      </c>
      <c r="E710" s="2">
        <v>11.65</v>
      </c>
      <c r="F710" s="2">
        <v>17.55</v>
      </c>
      <c r="G710" s="3">
        <v>332</v>
      </c>
      <c r="H710" s="3">
        <v>185</v>
      </c>
      <c r="I710" s="3">
        <v>147</v>
      </c>
      <c r="J710" s="3">
        <v>53</v>
      </c>
      <c r="K710" t="s">
        <v>20</v>
      </c>
      <c r="L710" s="2">
        <f t="shared" si="33"/>
        <v>5.9</v>
      </c>
      <c r="M710" s="2">
        <f t="shared" si="34"/>
        <v>3246.75</v>
      </c>
      <c r="N710" s="2">
        <f t="shared" si="35"/>
        <v>1091.5</v>
      </c>
    </row>
    <row r="711" spans="1:14">
      <c r="A711" t="s">
        <v>820</v>
      </c>
      <c r="B711" t="s">
        <v>66</v>
      </c>
      <c r="C711" t="s">
        <v>18</v>
      </c>
      <c r="D711" t="s">
        <v>39</v>
      </c>
      <c r="E711" s="2">
        <v>8.93</v>
      </c>
      <c r="F711" s="2">
        <v>16.55</v>
      </c>
      <c r="G711" s="3">
        <v>35</v>
      </c>
      <c r="H711" s="3">
        <v>29</v>
      </c>
      <c r="I711" s="3">
        <v>6</v>
      </c>
      <c r="J711" s="3">
        <v>3</v>
      </c>
      <c r="K711" t="s">
        <v>20</v>
      </c>
      <c r="L711" s="2">
        <f t="shared" si="33"/>
        <v>7.620000000000001</v>
      </c>
      <c r="M711" s="2">
        <f t="shared" si="34"/>
        <v>479.95000000000005</v>
      </c>
      <c r="N711" s="2">
        <f t="shared" si="35"/>
        <v>220.98000000000002</v>
      </c>
    </row>
    <row r="712" spans="1:14">
      <c r="A712" t="s">
        <v>821</v>
      </c>
      <c r="B712" t="s">
        <v>116</v>
      </c>
      <c r="C712" t="s">
        <v>23</v>
      </c>
      <c r="D712" t="s">
        <v>54</v>
      </c>
      <c r="E712" s="2">
        <v>17.79</v>
      </c>
      <c r="F712" s="2">
        <v>38.39</v>
      </c>
      <c r="G712" s="3">
        <v>195</v>
      </c>
      <c r="H712" s="3">
        <v>46</v>
      </c>
      <c r="I712" s="3">
        <v>149</v>
      </c>
      <c r="J712" s="3">
        <v>26</v>
      </c>
      <c r="K712" t="s">
        <v>20</v>
      </c>
      <c r="L712" s="2">
        <f t="shared" si="33"/>
        <v>20.6</v>
      </c>
      <c r="M712" s="2">
        <f t="shared" si="34"/>
        <v>1765.94</v>
      </c>
      <c r="N712" s="2">
        <f t="shared" si="35"/>
        <v>947.6</v>
      </c>
    </row>
    <row r="713" spans="1:14">
      <c r="A713" t="s">
        <v>822</v>
      </c>
      <c r="B713" t="s">
        <v>46</v>
      </c>
      <c r="C713" t="s">
        <v>47</v>
      </c>
      <c r="D713" t="s">
        <v>24</v>
      </c>
      <c r="E713" s="2">
        <v>1.8</v>
      </c>
      <c r="F713" s="2">
        <v>2.76</v>
      </c>
      <c r="G713" s="3">
        <v>233</v>
      </c>
      <c r="H713" s="3">
        <v>58</v>
      </c>
      <c r="I713" s="3">
        <v>175</v>
      </c>
      <c r="J713" s="3">
        <v>32</v>
      </c>
      <c r="K713" t="s">
        <v>20</v>
      </c>
      <c r="L713" s="2">
        <f t="shared" si="33"/>
        <v>0.95999999999999974</v>
      </c>
      <c r="M713" s="2">
        <f t="shared" si="34"/>
        <v>160.07999999999998</v>
      </c>
      <c r="N713" s="2">
        <f t="shared" si="35"/>
        <v>55.679999999999986</v>
      </c>
    </row>
    <row r="714" spans="1:14">
      <c r="A714" t="s">
        <v>823</v>
      </c>
      <c r="B714" t="s">
        <v>172</v>
      </c>
      <c r="C714" t="s">
        <v>18</v>
      </c>
      <c r="D714" t="s">
        <v>14</v>
      </c>
      <c r="E714" s="2">
        <v>7.63</v>
      </c>
      <c r="F714" s="2">
        <v>14.27</v>
      </c>
      <c r="G714" s="3">
        <v>315</v>
      </c>
      <c r="H714" s="3">
        <v>276</v>
      </c>
      <c r="I714" s="3">
        <v>39</v>
      </c>
      <c r="J714" s="3">
        <v>45</v>
      </c>
      <c r="K714" t="s">
        <v>15</v>
      </c>
      <c r="L714" s="2">
        <f t="shared" si="33"/>
        <v>6.64</v>
      </c>
      <c r="M714" s="2">
        <f t="shared" si="34"/>
        <v>3938.52</v>
      </c>
      <c r="N714" s="2">
        <f t="shared" si="35"/>
        <v>1832.6399999999999</v>
      </c>
    </row>
    <row r="715" spans="1:14">
      <c r="A715" t="s">
        <v>824</v>
      </c>
      <c r="B715" t="s">
        <v>131</v>
      </c>
      <c r="C715" t="s">
        <v>88</v>
      </c>
      <c r="D715" t="s">
        <v>77</v>
      </c>
      <c r="E715" s="2">
        <v>59.31</v>
      </c>
      <c r="F715" s="2">
        <v>126.14</v>
      </c>
      <c r="G715" s="3">
        <v>228</v>
      </c>
      <c r="H715" s="3">
        <v>61</v>
      </c>
      <c r="I715" s="3">
        <v>167</v>
      </c>
      <c r="J715" s="3">
        <v>35</v>
      </c>
      <c r="K715" t="s">
        <v>20</v>
      </c>
      <c r="L715" s="2">
        <f t="shared" si="33"/>
        <v>66.83</v>
      </c>
      <c r="M715" s="2">
        <f t="shared" si="34"/>
        <v>7694.54</v>
      </c>
      <c r="N715" s="2">
        <f t="shared" si="35"/>
        <v>4076.63</v>
      </c>
    </row>
    <row r="716" spans="1:14">
      <c r="A716" t="s">
        <v>825</v>
      </c>
      <c r="B716" t="s">
        <v>32</v>
      </c>
      <c r="C716" t="s">
        <v>33</v>
      </c>
      <c r="D716" t="s">
        <v>19</v>
      </c>
      <c r="E716" s="2">
        <v>9.27</v>
      </c>
      <c r="F716" s="2">
        <v>17.82</v>
      </c>
      <c r="G716" s="3">
        <v>207</v>
      </c>
      <c r="H716" s="3">
        <v>31</v>
      </c>
      <c r="I716" s="3">
        <v>176</v>
      </c>
      <c r="J716" s="3">
        <v>29</v>
      </c>
      <c r="K716" t="s">
        <v>20</v>
      </c>
      <c r="L716" s="2">
        <f t="shared" si="33"/>
        <v>8.5500000000000007</v>
      </c>
      <c r="M716" s="2">
        <f t="shared" si="34"/>
        <v>552.41999999999996</v>
      </c>
      <c r="N716" s="2">
        <f t="shared" si="35"/>
        <v>265.05</v>
      </c>
    </row>
    <row r="717" spans="1:14">
      <c r="A717" t="s">
        <v>826</v>
      </c>
      <c r="B717" t="s">
        <v>46</v>
      </c>
      <c r="C717" t="s">
        <v>47</v>
      </c>
      <c r="D717" t="s">
        <v>39</v>
      </c>
      <c r="E717" s="2">
        <v>7.97</v>
      </c>
      <c r="F717" s="2">
        <v>14.28</v>
      </c>
      <c r="G717" s="3">
        <v>348</v>
      </c>
      <c r="H717" s="3">
        <v>299</v>
      </c>
      <c r="I717" s="3">
        <v>49</v>
      </c>
      <c r="J717" s="3">
        <v>82</v>
      </c>
      <c r="K717" t="s">
        <v>15</v>
      </c>
      <c r="L717" s="2">
        <f t="shared" si="33"/>
        <v>6.31</v>
      </c>
      <c r="M717" s="2">
        <f t="shared" si="34"/>
        <v>4269.72</v>
      </c>
      <c r="N717" s="2">
        <f t="shared" si="35"/>
        <v>1886.6899999999998</v>
      </c>
    </row>
    <row r="718" spans="1:14">
      <c r="A718" t="s">
        <v>827</v>
      </c>
      <c r="B718" t="s">
        <v>156</v>
      </c>
      <c r="C718" t="s">
        <v>47</v>
      </c>
      <c r="D718" t="s">
        <v>54</v>
      </c>
      <c r="E718" s="2">
        <v>9.33</v>
      </c>
      <c r="F718" s="2">
        <v>18</v>
      </c>
      <c r="G718" s="3">
        <v>55</v>
      </c>
      <c r="H718" s="3">
        <v>27</v>
      </c>
      <c r="I718" s="3">
        <v>28</v>
      </c>
      <c r="J718" s="3">
        <v>6</v>
      </c>
      <c r="K718" t="s">
        <v>20</v>
      </c>
      <c r="L718" s="2">
        <f t="shared" si="33"/>
        <v>8.67</v>
      </c>
      <c r="M718" s="2">
        <f t="shared" si="34"/>
        <v>486</v>
      </c>
      <c r="N718" s="2">
        <f t="shared" si="35"/>
        <v>234.09</v>
      </c>
    </row>
    <row r="719" spans="1:14">
      <c r="A719" t="s">
        <v>828</v>
      </c>
      <c r="B719" t="s">
        <v>26</v>
      </c>
      <c r="C719" t="s">
        <v>27</v>
      </c>
      <c r="D719" t="s">
        <v>77</v>
      </c>
      <c r="E719" s="2">
        <v>14.88</v>
      </c>
      <c r="F719" s="2">
        <v>31.44</v>
      </c>
      <c r="G719" s="3">
        <v>399</v>
      </c>
      <c r="H719" s="3">
        <v>285</v>
      </c>
      <c r="I719" s="3">
        <v>114</v>
      </c>
      <c r="J719" s="3">
        <v>57</v>
      </c>
      <c r="K719" t="s">
        <v>20</v>
      </c>
      <c r="L719" s="2">
        <f t="shared" si="33"/>
        <v>16.560000000000002</v>
      </c>
      <c r="M719" s="2">
        <f t="shared" si="34"/>
        <v>8960.4</v>
      </c>
      <c r="N719" s="2">
        <f t="shared" si="35"/>
        <v>4719.6000000000004</v>
      </c>
    </row>
    <row r="720" spans="1:14">
      <c r="A720" t="s">
        <v>829</v>
      </c>
      <c r="B720" t="s">
        <v>149</v>
      </c>
      <c r="C720" t="s">
        <v>47</v>
      </c>
      <c r="D720" t="s">
        <v>24</v>
      </c>
      <c r="E720" s="2">
        <v>12.81</v>
      </c>
      <c r="F720" s="2">
        <v>24.49</v>
      </c>
      <c r="G720" s="3">
        <v>261</v>
      </c>
      <c r="H720" s="3">
        <v>114</v>
      </c>
      <c r="I720" s="3">
        <v>147</v>
      </c>
      <c r="J720" s="3">
        <v>41</v>
      </c>
      <c r="K720" t="s">
        <v>20</v>
      </c>
      <c r="L720" s="2">
        <f t="shared" si="33"/>
        <v>11.679999999999998</v>
      </c>
      <c r="M720" s="2">
        <f t="shared" si="34"/>
        <v>2791.8599999999997</v>
      </c>
      <c r="N720" s="2">
        <f t="shared" si="35"/>
        <v>1331.5199999999998</v>
      </c>
    </row>
    <row r="721" spans="1:14">
      <c r="A721" t="s">
        <v>830</v>
      </c>
      <c r="B721" t="s">
        <v>128</v>
      </c>
      <c r="C721" t="s">
        <v>53</v>
      </c>
      <c r="D721" t="s">
        <v>14</v>
      </c>
      <c r="E721" s="2">
        <v>19.309999999999999</v>
      </c>
      <c r="F721" s="2">
        <v>40.04</v>
      </c>
      <c r="G721" s="3">
        <v>185</v>
      </c>
      <c r="H721" s="3">
        <v>90</v>
      </c>
      <c r="I721" s="3">
        <v>95</v>
      </c>
      <c r="J721" s="3">
        <v>32</v>
      </c>
      <c r="K721" t="s">
        <v>20</v>
      </c>
      <c r="L721" s="2">
        <f t="shared" si="33"/>
        <v>20.73</v>
      </c>
      <c r="M721" s="2">
        <f t="shared" si="34"/>
        <v>3603.6</v>
      </c>
      <c r="N721" s="2">
        <f t="shared" si="35"/>
        <v>1865.7</v>
      </c>
    </row>
    <row r="722" spans="1:14">
      <c r="A722" t="s">
        <v>831</v>
      </c>
      <c r="B722" t="s">
        <v>30</v>
      </c>
      <c r="C722" t="s">
        <v>13</v>
      </c>
      <c r="D722" t="s">
        <v>77</v>
      </c>
      <c r="E722" s="2">
        <v>7.31</v>
      </c>
      <c r="F722" s="2">
        <v>12.35</v>
      </c>
      <c r="G722" s="3">
        <v>32</v>
      </c>
      <c r="H722" s="3">
        <v>12</v>
      </c>
      <c r="I722" s="3">
        <v>20</v>
      </c>
      <c r="J722" s="3">
        <v>3</v>
      </c>
      <c r="K722" t="s">
        <v>20</v>
      </c>
      <c r="L722" s="2">
        <f t="shared" si="33"/>
        <v>5.04</v>
      </c>
      <c r="M722" s="2">
        <f t="shared" si="34"/>
        <v>148.19999999999999</v>
      </c>
      <c r="N722" s="2">
        <f t="shared" si="35"/>
        <v>60.480000000000004</v>
      </c>
    </row>
    <row r="723" spans="1:14">
      <c r="A723" t="s">
        <v>832</v>
      </c>
      <c r="B723" t="s">
        <v>69</v>
      </c>
      <c r="C723" t="s">
        <v>23</v>
      </c>
      <c r="D723" t="s">
        <v>39</v>
      </c>
      <c r="E723" s="2">
        <v>1.38</v>
      </c>
      <c r="F723" s="2">
        <v>2.68</v>
      </c>
      <c r="G723" s="3">
        <v>489</v>
      </c>
      <c r="H723" s="3">
        <v>463</v>
      </c>
      <c r="I723" s="3">
        <v>26</v>
      </c>
      <c r="J723" s="3">
        <v>95</v>
      </c>
      <c r="K723" t="s">
        <v>15</v>
      </c>
      <c r="L723" s="2">
        <f t="shared" si="33"/>
        <v>1.3000000000000003</v>
      </c>
      <c r="M723" s="2">
        <f t="shared" si="34"/>
        <v>1240.8400000000001</v>
      </c>
      <c r="N723" s="2">
        <f t="shared" si="35"/>
        <v>601.90000000000009</v>
      </c>
    </row>
    <row r="724" spans="1:14">
      <c r="A724" t="s">
        <v>833</v>
      </c>
      <c r="B724" t="s">
        <v>141</v>
      </c>
      <c r="C724" t="s">
        <v>47</v>
      </c>
      <c r="D724" t="s">
        <v>42</v>
      </c>
      <c r="E724" s="2">
        <v>10.67</v>
      </c>
      <c r="F724" s="2">
        <v>21.89</v>
      </c>
      <c r="G724" s="3">
        <v>298</v>
      </c>
      <c r="H724" s="3">
        <v>231</v>
      </c>
      <c r="I724" s="3">
        <v>67</v>
      </c>
      <c r="J724" s="3">
        <v>29</v>
      </c>
      <c r="K724" t="s">
        <v>20</v>
      </c>
      <c r="L724" s="2">
        <f t="shared" si="33"/>
        <v>11.22</v>
      </c>
      <c r="M724" s="2">
        <f t="shared" si="34"/>
        <v>5056.59</v>
      </c>
      <c r="N724" s="2">
        <f t="shared" si="35"/>
        <v>2591.8200000000002</v>
      </c>
    </row>
    <row r="725" spans="1:14">
      <c r="A725" t="s">
        <v>834</v>
      </c>
      <c r="B725" t="s">
        <v>259</v>
      </c>
      <c r="C725" t="s">
        <v>53</v>
      </c>
      <c r="D725" t="s">
        <v>14</v>
      </c>
      <c r="E725" s="2">
        <v>18.22</v>
      </c>
      <c r="F725" s="2">
        <v>32.07</v>
      </c>
      <c r="G725" s="3">
        <v>229</v>
      </c>
      <c r="H725" s="3">
        <v>54</v>
      </c>
      <c r="I725" s="3">
        <v>175</v>
      </c>
      <c r="J725" s="3">
        <v>34</v>
      </c>
      <c r="K725" t="s">
        <v>20</v>
      </c>
      <c r="L725" s="2">
        <f t="shared" si="33"/>
        <v>13.850000000000001</v>
      </c>
      <c r="M725" s="2">
        <f t="shared" si="34"/>
        <v>1731.78</v>
      </c>
      <c r="N725" s="2">
        <f t="shared" si="35"/>
        <v>747.90000000000009</v>
      </c>
    </row>
    <row r="726" spans="1:14">
      <c r="A726" t="s">
        <v>835</v>
      </c>
      <c r="B726" t="s">
        <v>126</v>
      </c>
      <c r="C726" t="s">
        <v>23</v>
      </c>
      <c r="D726" t="s">
        <v>39</v>
      </c>
      <c r="E726" s="2">
        <v>9.9</v>
      </c>
      <c r="F726" s="2">
        <v>14.34</v>
      </c>
      <c r="G726" s="3">
        <v>372</v>
      </c>
      <c r="H726" s="3">
        <v>74</v>
      </c>
      <c r="I726" s="3">
        <v>298</v>
      </c>
      <c r="J726" s="3">
        <v>57</v>
      </c>
      <c r="K726" t="s">
        <v>20</v>
      </c>
      <c r="L726" s="2">
        <f t="shared" si="33"/>
        <v>4.4399999999999995</v>
      </c>
      <c r="M726" s="2">
        <f t="shared" si="34"/>
        <v>1061.1600000000001</v>
      </c>
      <c r="N726" s="2">
        <f t="shared" si="35"/>
        <v>328.55999999999995</v>
      </c>
    </row>
    <row r="727" spans="1:14">
      <c r="A727" t="s">
        <v>836</v>
      </c>
      <c r="B727" t="s">
        <v>74</v>
      </c>
      <c r="C727" t="s">
        <v>23</v>
      </c>
      <c r="D727" t="s">
        <v>77</v>
      </c>
      <c r="E727" s="2">
        <v>9.44</v>
      </c>
      <c r="F727" s="2">
        <v>15.12</v>
      </c>
      <c r="G727" s="3">
        <v>325</v>
      </c>
      <c r="H727" s="3">
        <v>181</v>
      </c>
      <c r="I727" s="3">
        <v>144</v>
      </c>
      <c r="J727" s="3">
        <v>58</v>
      </c>
      <c r="K727" t="s">
        <v>20</v>
      </c>
      <c r="L727" s="2">
        <f t="shared" si="33"/>
        <v>5.68</v>
      </c>
      <c r="M727" s="2">
        <f t="shared" si="34"/>
        <v>2736.72</v>
      </c>
      <c r="N727" s="2">
        <f t="shared" si="35"/>
        <v>1028.08</v>
      </c>
    </row>
    <row r="728" spans="1:14">
      <c r="A728" t="s">
        <v>837</v>
      </c>
      <c r="B728" t="s">
        <v>72</v>
      </c>
      <c r="C728" t="s">
        <v>27</v>
      </c>
      <c r="D728" t="s">
        <v>19</v>
      </c>
      <c r="E728" s="2">
        <v>17.190000000000001</v>
      </c>
      <c r="F728" s="2">
        <v>28.61</v>
      </c>
      <c r="G728" s="3">
        <v>388</v>
      </c>
      <c r="H728" s="3">
        <v>141</v>
      </c>
      <c r="I728" s="3">
        <v>247</v>
      </c>
      <c r="J728" s="3">
        <v>62</v>
      </c>
      <c r="K728" t="s">
        <v>20</v>
      </c>
      <c r="L728" s="2">
        <f t="shared" si="33"/>
        <v>11.419999999999998</v>
      </c>
      <c r="M728" s="2">
        <f t="shared" si="34"/>
        <v>4034.0099999999998</v>
      </c>
      <c r="N728" s="2">
        <f t="shared" si="35"/>
        <v>1610.2199999999998</v>
      </c>
    </row>
    <row r="729" spans="1:14">
      <c r="A729" t="s">
        <v>838</v>
      </c>
      <c r="B729" t="s">
        <v>85</v>
      </c>
      <c r="C729" t="s">
        <v>27</v>
      </c>
      <c r="D729" t="s">
        <v>24</v>
      </c>
      <c r="E729" s="2">
        <v>24.6</v>
      </c>
      <c r="F729" s="2">
        <v>46.22</v>
      </c>
      <c r="G729" s="3">
        <v>371</v>
      </c>
      <c r="H729" s="3">
        <v>116</v>
      </c>
      <c r="I729" s="3">
        <v>255</v>
      </c>
      <c r="J729" s="3">
        <v>88</v>
      </c>
      <c r="K729" t="s">
        <v>20</v>
      </c>
      <c r="L729" s="2">
        <f t="shared" si="33"/>
        <v>21.619999999999997</v>
      </c>
      <c r="M729" s="2">
        <f t="shared" si="34"/>
        <v>5361.5199999999995</v>
      </c>
      <c r="N729" s="2">
        <f t="shared" si="35"/>
        <v>2507.9199999999996</v>
      </c>
    </row>
    <row r="730" spans="1:14">
      <c r="A730" t="s">
        <v>839</v>
      </c>
      <c r="B730" t="s">
        <v>26</v>
      </c>
      <c r="C730" t="s">
        <v>27</v>
      </c>
      <c r="D730" t="s">
        <v>14</v>
      </c>
      <c r="E730" s="2">
        <v>3.69</v>
      </c>
      <c r="F730" s="2">
        <v>6.65</v>
      </c>
      <c r="G730" s="3">
        <v>367</v>
      </c>
      <c r="H730" s="3">
        <v>300</v>
      </c>
      <c r="I730" s="3">
        <v>67</v>
      </c>
      <c r="J730" s="3">
        <v>88</v>
      </c>
      <c r="K730" t="s">
        <v>15</v>
      </c>
      <c r="L730" s="2">
        <f t="shared" si="33"/>
        <v>2.9600000000000004</v>
      </c>
      <c r="M730" s="2">
        <f t="shared" si="34"/>
        <v>1995</v>
      </c>
      <c r="N730" s="2">
        <f t="shared" si="35"/>
        <v>888.00000000000011</v>
      </c>
    </row>
    <row r="731" spans="1:14">
      <c r="A731" t="s">
        <v>840</v>
      </c>
      <c r="B731" t="s">
        <v>156</v>
      </c>
      <c r="C731" t="s">
        <v>47</v>
      </c>
      <c r="D731" t="s">
        <v>14</v>
      </c>
      <c r="E731" s="2">
        <v>14.44</v>
      </c>
      <c r="F731" s="2">
        <v>26.13</v>
      </c>
      <c r="G731" s="3">
        <v>103</v>
      </c>
      <c r="H731" s="3">
        <v>81</v>
      </c>
      <c r="I731" s="3">
        <v>22</v>
      </c>
      <c r="J731" s="3">
        <v>18</v>
      </c>
      <c r="K731" t="s">
        <v>20</v>
      </c>
      <c r="L731" s="2">
        <f t="shared" si="33"/>
        <v>11.69</v>
      </c>
      <c r="M731" s="2">
        <f t="shared" si="34"/>
        <v>2116.5299999999997</v>
      </c>
      <c r="N731" s="2">
        <f t="shared" si="35"/>
        <v>946.89</v>
      </c>
    </row>
    <row r="732" spans="1:14">
      <c r="A732" t="s">
        <v>841</v>
      </c>
      <c r="B732" t="s">
        <v>62</v>
      </c>
      <c r="C732" t="s">
        <v>13</v>
      </c>
      <c r="D732" t="s">
        <v>14</v>
      </c>
      <c r="E732" s="2">
        <v>22.05</v>
      </c>
      <c r="F732" s="2">
        <v>47.79</v>
      </c>
      <c r="G732" s="3">
        <v>248</v>
      </c>
      <c r="H732" s="3">
        <v>124</v>
      </c>
      <c r="I732" s="3">
        <v>124</v>
      </c>
      <c r="J732" s="3">
        <v>56</v>
      </c>
      <c r="K732" t="s">
        <v>20</v>
      </c>
      <c r="L732" s="2">
        <f t="shared" si="33"/>
        <v>25.74</v>
      </c>
      <c r="M732" s="2">
        <f t="shared" si="34"/>
        <v>5925.96</v>
      </c>
      <c r="N732" s="2">
        <f t="shared" si="35"/>
        <v>3191.7599999999998</v>
      </c>
    </row>
    <row r="733" spans="1:14">
      <c r="A733" t="s">
        <v>842</v>
      </c>
      <c r="B733" t="s">
        <v>421</v>
      </c>
      <c r="C733" t="s">
        <v>33</v>
      </c>
      <c r="D733" t="s">
        <v>77</v>
      </c>
      <c r="E733" s="2">
        <v>9.58</v>
      </c>
      <c r="F733" s="2">
        <v>14.39</v>
      </c>
      <c r="G733" s="3">
        <v>390</v>
      </c>
      <c r="H733" s="3">
        <v>343</v>
      </c>
      <c r="I733" s="3">
        <v>47</v>
      </c>
      <c r="J733" s="3">
        <v>57</v>
      </c>
      <c r="K733" t="s">
        <v>15</v>
      </c>
      <c r="L733" s="2">
        <f t="shared" si="33"/>
        <v>4.8100000000000005</v>
      </c>
      <c r="M733" s="2">
        <f t="shared" si="34"/>
        <v>4935.7700000000004</v>
      </c>
      <c r="N733" s="2">
        <f t="shared" si="35"/>
        <v>1649.8300000000002</v>
      </c>
    </row>
    <row r="734" spans="1:14">
      <c r="A734" t="s">
        <v>843</v>
      </c>
      <c r="B734" t="s">
        <v>141</v>
      </c>
      <c r="C734" t="s">
        <v>47</v>
      </c>
      <c r="D734" t="s">
        <v>19</v>
      </c>
      <c r="E734" s="2">
        <v>12.96</v>
      </c>
      <c r="F734" s="2">
        <v>23.87</v>
      </c>
      <c r="G734" s="3">
        <v>398</v>
      </c>
      <c r="H734" s="3">
        <v>49</v>
      </c>
      <c r="I734" s="3">
        <v>349</v>
      </c>
      <c r="J734" s="3">
        <v>82</v>
      </c>
      <c r="K734" t="s">
        <v>20</v>
      </c>
      <c r="L734" s="2">
        <f t="shared" si="33"/>
        <v>10.91</v>
      </c>
      <c r="M734" s="2">
        <f t="shared" si="34"/>
        <v>1169.6300000000001</v>
      </c>
      <c r="N734" s="2">
        <f t="shared" si="35"/>
        <v>534.59</v>
      </c>
    </row>
    <row r="735" spans="1:14">
      <c r="A735" t="s">
        <v>844</v>
      </c>
      <c r="B735" t="s">
        <v>60</v>
      </c>
      <c r="C735" t="s">
        <v>47</v>
      </c>
      <c r="D735" t="s">
        <v>24</v>
      </c>
      <c r="E735" s="2">
        <v>5.99</v>
      </c>
      <c r="F735" s="2">
        <v>8.01</v>
      </c>
      <c r="G735" s="3">
        <v>384</v>
      </c>
      <c r="H735" s="3">
        <v>121</v>
      </c>
      <c r="I735" s="3">
        <v>263</v>
      </c>
      <c r="J735" s="3">
        <v>74</v>
      </c>
      <c r="K735" t="s">
        <v>20</v>
      </c>
      <c r="L735" s="2">
        <f t="shared" si="33"/>
        <v>2.0199999999999996</v>
      </c>
      <c r="M735" s="2">
        <f t="shared" si="34"/>
        <v>969.20999999999992</v>
      </c>
      <c r="N735" s="2">
        <f t="shared" si="35"/>
        <v>244.41999999999996</v>
      </c>
    </row>
    <row r="736" spans="1:14">
      <c r="A736" t="s">
        <v>845</v>
      </c>
      <c r="B736" t="s">
        <v>92</v>
      </c>
      <c r="C736" t="s">
        <v>27</v>
      </c>
      <c r="D736" t="s">
        <v>24</v>
      </c>
      <c r="E736" s="2">
        <v>13.53</v>
      </c>
      <c r="F736" s="2">
        <v>22.63</v>
      </c>
      <c r="G736" s="3">
        <v>202</v>
      </c>
      <c r="H736" s="3">
        <v>63</v>
      </c>
      <c r="I736" s="3">
        <v>139</v>
      </c>
      <c r="J736" s="3">
        <v>32</v>
      </c>
      <c r="K736" t="s">
        <v>20</v>
      </c>
      <c r="L736" s="2">
        <f t="shared" si="33"/>
        <v>9.1</v>
      </c>
      <c r="M736" s="2">
        <f t="shared" si="34"/>
        <v>1425.6899999999998</v>
      </c>
      <c r="N736" s="2">
        <f t="shared" si="35"/>
        <v>573.29999999999995</v>
      </c>
    </row>
    <row r="737" spans="1:14">
      <c r="A737" t="s">
        <v>846</v>
      </c>
      <c r="B737" t="s">
        <v>299</v>
      </c>
      <c r="C737" t="s">
        <v>13</v>
      </c>
      <c r="D737" t="s">
        <v>19</v>
      </c>
      <c r="E737" s="2">
        <v>21.76</v>
      </c>
      <c r="F737" s="2">
        <v>29.34</v>
      </c>
      <c r="G737" s="3">
        <v>431</v>
      </c>
      <c r="H737" s="3">
        <v>158</v>
      </c>
      <c r="I737" s="3">
        <v>273</v>
      </c>
      <c r="J737" s="3">
        <v>100</v>
      </c>
      <c r="K737" t="s">
        <v>20</v>
      </c>
      <c r="L737" s="2">
        <f t="shared" si="33"/>
        <v>7.5799999999999983</v>
      </c>
      <c r="M737" s="2">
        <f t="shared" si="34"/>
        <v>4635.72</v>
      </c>
      <c r="N737" s="2">
        <f t="shared" si="35"/>
        <v>1197.6399999999996</v>
      </c>
    </row>
    <row r="738" spans="1:14">
      <c r="A738" t="s">
        <v>847</v>
      </c>
      <c r="B738" t="s">
        <v>406</v>
      </c>
      <c r="C738" t="s">
        <v>18</v>
      </c>
      <c r="D738" t="s">
        <v>39</v>
      </c>
      <c r="E738" s="2">
        <v>18.68</v>
      </c>
      <c r="F738" s="2">
        <v>34.57</v>
      </c>
      <c r="G738" s="3">
        <v>494</v>
      </c>
      <c r="H738" s="3">
        <v>304</v>
      </c>
      <c r="I738" s="3">
        <v>190</v>
      </c>
      <c r="J738" s="3">
        <v>87</v>
      </c>
      <c r="K738" t="s">
        <v>20</v>
      </c>
      <c r="L738" s="2">
        <f t="shared" si="33"/>
        <v>15.89</v>
      </c>
      <c r="M738" s="2">
        <f t="shared" si="34"/>
        <v>10509.28</v>
      </c>
      <c r="N738" s="2">
        <f t="shared" si="35"/>
        <v>4830.5600000000004</v>
      </c>
    </row>
    <row r="739" spans="1:14">
      <c r="A739" t="s">
        <v>848</v>
      </c>
      <c r="B739" t="s">
        <v>66</v>
      </c>
      <c r="C739" t="s">
        <v>18</v>
      </c>
      <c r="D739" t="s">
        <v>24</v>
      </c>
      <c r="E739" s="2">
        <v>6.31</v>
      </c>
      <c r="F739" s="2">
        <v>9.4700000000000006</v>
      </c>
      <c r="G739" s="3">
        <v>179</v>
      </c>
      <c r="H739" s="3">
        <v>52</v>
      </c>
      <c r="I739" s="3">
        <v>127</v>
      </c>
      <c r="J739" s="3">
        <v>20</v>
      </c>
      <c r="K739" t="s">
        <v>20</v>
      </c>
      <c r="L739" s="2">
        <f t="shared" si="33"/>
        <v>3.160000000000001</v>
      </c>
      <c r="M739" s="2">
        <f t="shared" si="34"/>
        <v>492.44000000000005</v>
      </c>
      <c r="N739" s="2">
        <f t="shared" si="35"/>
        <v>164.32000000000005</v>
      </c>
    </row>
    <row r="740" spans="1:14">
      <c r="A740" t="s">
        <v>849</v>
      </c>
      <c r="B740" t="s">
        <v>141</v>
      </c>
      <c r="C740" t="s">
        <v>47</v>
      </c>
      <c r="D740" t="s">
        <v>14</v>
      </c>
      <c r="E740" s="2">
        <v>4.68</v>
      </c>
      <c r="F740" s="2">
        <v>10.25</v>
      </c>
      <c r="G740" s="3">
        <v>223</v>
      </c>
      <c r="H740" s="3">
        <v>37</v>
      </c>
      <c r="I740" s="3">
        <v>186</v>
      </c>
      <c r="J740" s="3">
        <v>24</v>
      </c>
      <c r="K740" t="s">
        <v>20</v>
      </c>
      <c r="L740" s="2">
        <f t="shared" si="33"/>
        <v>5.57</v>
      </c>
      <c r="M740" s="2">
        <f t="shared" si="34"/>
        <v>379.25</v>
      </c>
      <c r="N740" s="2">
        <f t="shared" si="35"/>
        <v>206.09</v>
      </c>
    </row>
    <row r="741" spans="1:14">
      <c r="A741" t="s">
        <v>850</v>
      </c>
      <c r="B741" t="s">
        <v>124</v>
      </c>
      <c r="C741" t="s">
        <v>88</v>
      </c>
      <c r="D741" t="s">
        <v>28</v>
      </c>
      <c r="E741" s="2">
        <v>61.08</v>
      </c>
      <c r="F741" s="2">
        <v>120.91</v>
      </c>
      <c r="G741" s="3">
        <v>49</v>
      </c>
      <c r="H741" s="3">
        <v>27</v>
      </c>
      <c r="I741" s="3">
        <v>22</v>
      </c>
      <c r="J741" s="3">
        <v>7</v>
      </c>
      <c r="K741" t="s">
        <v>20</v>
      </c>
      <c r="L741" s="2">
        <f t="shared" si="33"/>
        <v>59.83</v>
      </c>
      <c r="M741" s="2">
        <f t="shared" si="34"/>
        <v>3264.5699999999997</v>
      </c>
      <c r="N741" s="2">
        <f t="shared" si="35"/>
        <v>1615.4099999999999</v>
      </c>
    </row>
    <row r="742" spans="1:14">
      <c r="A742" t="s">
        <v>851</v>
      </c>
      <c r="B742" t="s">
        <v>248</v>
      </c>
      <c r="C742" t="s">
        <v>27</v>
      </c>
      <c r="D742" t="s">
        <v>77</v>
      </c>
      <c r="E742" s="2">
        <v>5</v>
      </c>
      <c r="F742" s="2">
        <v>7.55</v>
      </c>
      <c r="G742" s="3">
        <v>329</v>
      </c>
      <c r="H742" s="3">
        <v>310</v>
      </c>
      <c r="I742" s="3">
        <v>19</v>
      </c>
      <c r="J742" s="3">
        <v>33</v>
      </c>
      <c r="K742" t="s">
        <v>15</v>
      </c>
      <c r="L742" s="2">
        <f t="shared" si="33"/>
        <v>2.5499999999999998</v>
      </c>
      <c r="M742" s="2">
        <f t="shared" si="34"/>
        <v>2340.5</v>
      </c>
      <c r="N742" s="2">
        <f t="shared" si="35"/>
        <v>790.5</v>
      </c>
    </row>
    <row r="743" spans="1:14">
      <c r="A743" t="s">
        <v>852</v>
      </c>
      <c r="B743" t="s">
        <v>272</v>
      </c>
      <c r="C743" t="s">
        <v>47</v>
      </c>
      <c r="D743" t="s">
        <v>100</v>
      </c>
      <c r="E743" s="2">
        <v>7.44</v>
      </c>
      <c r="F743" s="2">
        <v>12.36</v>
      </c>
      <c r="G743" s="3">
        <v>305</v>
      </c>
      <c r="H743" s="3">
        <v>48</v>
      </c>
      <c r="I743" s="3">
        <v>257</v>
      </c>
      <c r="J743" s="3">
        <v>62</v>
      </c>
      <c r="K743" t="s">
        <v>20</v>
      </c>
      <c r="L743" s="2">
        <f t="shared" si="33"/>
        <v>4.919999999999999</v>
      </c>
      <c r="M743" s="2">
        <f t="shared" si="34"/>
        <v>593.28</v>
      </c>
      <c r="N743" s="2">
        <f t="shared" si="35"/>
        <v>236.15999999999997</v>
      </c>
    </row>
    <row r="744" spans="1:14">
      <c r="A744" t="s">
        <v>853</v>
      </c>
      <c r="B744" t="s">
        <v>76</v>
      </c>
      <c r="C744" t="s">
        <v>27</v>
      </c>
      <c r="D744" t="s">
        <v>39</v>
      </c>
      <c r="E744" s="2">
        <v>24.78</v>
      </c>
      <c r="F744" s="2">
        <v>37.65</v>
      </c>
      <c r="G744" s="3">
        <v>409</v>
      </c>
      <c r="H744" s="3">
        <v>330</v>
      </c>
      <c r="I744" s="3">
        <v>79</v>
      </c>
      <c r="J744" s="3">
        <v>86</v>
      </c>
      <c r="K744" t="s">
        <v>15</v>
      </c>
      <c r="L744" s="2">
        <f t="shared" si="33"/>
        <v>12.869999999999997</v>
      </c>
      <c r="M744" s="2">
        <f t="shared" si="34"/>
        <v>12424.5</v>
      </c>
      <c r="N744" s="2">
        <f t="shared" si="35"/>
        <v>4247.0999999999995</v>
      </c>
    </row>
    <row r="745" spans="1:14">
      <c r="A745" t="s">
        <v>854</v>
      </c>
      <c r="B745" t="s">
        <v>135</v>
      </c>
      <c r="C745" t="s">
        <v>18</v>
      </c>
      <c r="D745" t="s">
        <v>28</v>
      </c>
      <c r="E745" s="2">
        <v>2.1800000000000002</v>
      </c>
      <c r="F745" s="2">
        <v>4.37</v>
      </c>
      <c r="G745" s="3">
        <v>125</v>
      </c>
      <c r="H745" s="3">
        <v>83</v>
      </c>
      <c r="I745" s="3">
        <v>42</v>
      </c>
      <c r="J745" s="3">
        <v>13</v>
      </c>
      <c r="K745" t="s">
        <v>20</v>
      </c>
      <c r="L745" s="2">
        <f t="shared" si="33"/>
        <v>2.19</v>
      </c>
      <c r="M745" s="2">
        <f t="shared" si="34"/>
        <v>362.71000000000004</v>
      </c>
      <c r="N745" s="2">
        <f t="shared" si="35"/>
        <v>181.76999999999998</v>
      </c>
    </row>
    <row r="746" spans="1:14">
      <c r="A746" t="s">
        <v>855</v>
      </c>
      <c r="B746" t="s">
        <v>50</v>
      </c>
      <c r="C746" t="s">
        <v>33</v>
      </c>
      <c r="D746" t="s">
        <v>100</v>
      </c>
      <c r="E746" s="2">
        <v>11.36</v>
      </c>
      <c r="F746" s="2">
        <v>19.260000000000002</v>
      </c>
      <c r="G746" s="3">
        <v>188</v>
      </c>
      <c r="H746" s="3">
        <v>25</v>
      </c>
      <c r="I746" s="3">
        <v>163</v>
      </c>
      <c r="J746" s="3">
        <v>40</v>
      </c>
      <c r="K746" t="s">
        <v>20</v>
      </c>
      <c r="L746" s="2">
        <f t="shared" si="33"/>
        <v>7.9000000000000021</v>
      </c>
      <c r="M746" s="2">
        <f t="shared" si="34"/>
        <v>481.50000000000006</v>
      </c>
      <c r="N746" s="2">
        <f t="shared" si="35"/>
        <v>197.50000000000006</v>
      </c>
    </row>
    <row r="747" spans="1:14">
      <c r="A747" t="s">
        <v>856</v>
      </c>
      <c r="B747" t="s">
        <v>92</v>
      </c>
      <c r="C747" t="s">
        <v>27</v>
      </c>
      <c r="D747" t="s">
        <v>48</v>
      </c>
      <c r="E747" s="2">
        <v>23.46</v>
      </c>
      <c r="F747" s="2">
        <v>45.14</v>
      </c>
      <c r="G747" s="3">
        <v>28</v>
      </c>
      <c r="H747" s="3">
        <v>4</v>
      </c>
      <c r="I747" s="3">
        <v>24</v>
      </c>
      <c r="J747" s="3">
        <v>4</v>
      </c>
      <c r="K747" t="s">
        <v>20</v>
      </c>
      <c r="L747" s="2">
        <f t="shared" si="33"/>
        <v>21.68</v>
      </c>
      <c r="M747" s="2">
        <f t="shared" si="34"/>
        <v>180.56</v>
      </c>
      <c r="N747" s="2">
        <f t="shared" si="35"/>
        <v>86.72</v>
      </c>
    </row>
    <row r="748" spans="1:14">
      <c r="A748" t="s">
        <v>857</v>
      </c>
      <c r="B748" t="s">
        <v>64</v>
      </c>
      <c r="C748" t="s">
        <v>18</v>
      </c>
      <c r="D748" t="s">
        <v>14</v>
      </c>
      <c r="E748" s="2">
        <v>4.0599999999999996</v>
      </c>
      <c r="F748" s="2">
        <v>5.53</v>
      </c>
      <c r="G748" s="3">
        <v>28</v>
      </c>
      <c r="H748" s="3">
        <v>22</v>
      </c>
      <c r="I748" s="3">
        <v>6</v>
      </c>
      <c r="J748" s="3">
        <v>3</v>
      </c>
      <c r="K748" t="s">
        <v>20</v>
      </c>
      <c r="L748" s="2">
        <f t="shared" si="33"/>
        <v>1.4700000000000006</v>
      </c>
      <c r="M748" s="2">
        <f t="shared" si="34"/>
        <v>121.66000000000001</v>
      </c>
      <c r="N748" s="2">
        <f t="shared" si="35"/>
        <v>32.340000000000018</v>
      </c>
    </row>
    <row r="749" spans="1:14">
      <c r="A749" t="s">
        <v>858</v>
      </c>
      <c r="B749" t="s">
        <v>64</v>
      </c>
      <c r="C749" t="s">
        <v>18</v>
      </c>
      <c r="D749" t="s">
        <v>39</v>
      </c>
      <c r="E749" s="2">
        <v>18.2</v>
      </c>
      <c r="F749" s="2">
        <v>30.52</v>
      </c>
      <c r="G749" s="3">
        <v>467</v>
      </c>
      <c r="H749" s="3">
        <v>318</v>
      </c>
      <c r="I749" s="3">
        <v>149</v>
      </c>
      <c r="J749" s="3">
        <v>75</v>
      </c>
      <c r="K749" t="s">
        <v>20</v>
      </c>
      <c r="L749" s="2">
        <f t="shared" si="33"/>
        <v>12.32</v>
      </c>
      <c r="M749" s="2">
        <f t="shared" si="34"/>
        <v>9705.36</v>
      </c>
      <c r="N749" s="2">
        <f t="shared" si="35"/>
        <v>3917.76</v>
      </c>
    </row>
    <row r="750" spans="1:14">
      <c r="A750" t="s">
        <v>859</v>
      </c>
      <c r="B750" t="s">
        <v>406</v>
      </c>
      <c r="C750" t="s">
        <v>18</v>
      </c>
      <c r="D750" t="s">
        <v>14</v>
      </c>
      <c r="E750" s="2">
        <v>10.3</v>
      </c>
      <c r="F750" s="2">
        <v>18.32</v>
      </c>
      <c r="G750" s="3">
        <v>481</v>
      </c>
      <c r="H750" s="3">
        <v>72</v>
      </c>
      <c r="I750" s="3">
        <v>409</v>
      </c>
      <c r="J750" s="3">
        <v>69</v>
      </c>
      <c r="K750" t="s">
        <v>20</v>
      </c>
      <c r="L750" s="2">
        <f t="shared" si="33"/>
        <v>8.02</v>
      </c>
      <c r="M750" s="2">
        <f t="shared" si="34"/>
        <v>1319.04</v>
      </c>
      <c r="N750" s="2">
        <f t="shared" si="35"/>
        <v>577.43999999999994</v>
      </c>
    </row>
    <row r="751" spans="1:14">
      <c r="A751" t="s">
        <v>860</v>
      </c>
      <c r="B751" t="s">
        <v>104</v>
      </c>
      <c r="C751" t="s">
        <v>33</v>
      </c>
      <c r="D751" t="s">
        <v>42</v>
      </c>
      <c r="E751" s="2">
        <v>9.1199999999999992</v>
      </c>
      <c r="F751" s="2">
        <v>12.23</v>
      </c>
      <c r="G751" s="3">
        <v>419</v>
      </c>
      <c r="H751" s="3">
        <v>199</v>
      </c>
      <c r="I751" s="3">
        <v>220</v>
      </c>
      <c r="J751" s="3">
        <v>47</v>
      </c>
      <c r="K751" t="s">
        <v>20</v>
      </c>
      <c r="L751" s="2">
        <f t="shared" si="33"/>
        <v>3.1100000000000012</v>
      </c>
      <c r="M751" s="2">
        <f t="shared" si="34"/>
        <v>2433.77</v>
      </c>
      <c r="N751" s="2">
        <f t="shared" si="35"/>
        <v>618.89000000000021</v>
      </c>
    </row>
    <row r="752" spans="1:14">
      <c r="A752" t="s">
        <v>861</v>
      </c>
      <c r="B752" t="s">
        <v>156</v>
      </c>
      <c r="C752" t="s">
        <v>47</v>
      </c>
      <c r="D752" t="s">
        <v>24</v>
      </c>
      <c r="E752" s="2">
        <v>14.93</v>
      </c>
      <c r="F752" s="2">
        <v>28.54</v>
      </c>
      <c r="G752" s="3">
        <v>394</v>
      </c>
      <c r="H752" s="3">
        <v>342</v>
      </c>
      <c r="I752" s="3">
        <v>52</v>
      </c>
      <c r="J752" s="3">
        <v>45</v>
      </c>
      <c r="K752" t="s">
        <v>20</v>
      </c>
      <c r="L752" s="2">
        <f t="shared" si="33"/>
        <v>13.61</v>
      </c>
      <c r="M752" s="2">
        <f t="shared" si="34"/>
        <v>9760.68</v>
      </c>
      <c r="N752" s="2">
        <f t="shared" si="35"/>
        <v>4654.62</v>
      </c>
    </row>
    <row r="753" spans="1:14">
      <c r="A753" t="s">
        <v>862</v>
      </c>
      <c r="B753" t="s">
        <v>56</v>
      </c>
      <c r="C753" t="s">
        <v>23</v>
      </c>
      <c r="D753" t="s">
        <v>14</v>
      </c>
      <c r="E753" s="2">
        <v>17.829999999999998</v>
      </c>
      <c r="F753" s="2">
        <v>35.590000000000003</v>
      </c>
      <c r="G753" s="3">
        <v>293</v>
      </c>
      <c r="H753" s="3">
        <v>169</v>
      </c>
      <c r="I753" s="3">
        <v>124</v>
      </c>
      <c r="J753" s="3">
        <v>46</v>
      </c>
      <c r="K753" t="s">
        <v>20</v>
      </c>
      <c r="L753" s="2">
        <f t="shared" si="33"/>
        <v>17.760000000000005</v>
      </c>
      <c r="M753" s="2">
        <f t="shared" si="34"/>
        <v>6014.7100000000009</v>
      </c>
      <c r="N753" s="2">
        <f t="shared" si="35"/>
        <v>3001.440000000001</v>
      </c>
    </row>
    <row r="754" spans="1:14">
      <c r="A754" t="s">
        <v>863</v>
      </c>
      <c r="B754" t="s">
        <v>216</v>
      </c>
      <c r="C754" t="s">
        <v>23</v>
      </c>
      <c r="D754" t="s">
        <v>100</v>
      </c>
      <c r="E754" s="2">
        <v>13.91</v>
      </c>
      <c r="F754" s="2">
        <v>19.829999999999998</v>
      </c>
      <c r="G754" s="3">
        <v>306</v>
      </c>
      <c r="H754" s="3">
        <v>242</v>
      </c>
      <c r="I754" s="3">
        <v>64</v>
      </c>
      <c r="J754" s="3">
        <v>73</v>
      </c>
      <c r="K754" t="s">
        <v>15</v>
      </c>
      <c r="L754" s="2">
        <f t="shared" si="33"/>
        <v>5.9199999999999982</v>
      </c>
      <c r="M754" s="2">
        <f t="shared" si="34"/>
        <v>4798.8599999999997</v>
      </c>
      <c r="N754" s="2">
        <f t="shared" si="35"/>
        <v>1432.6399999999996</v>
      </c>
    </row>
    <row r="755" spans="1:14">
      <c r="A755" t="s">
        <v>864</v>
      </c>
      <c r="B755" t="s">
        <v>175</v>
      </c>
      <c r="C755" t="s">
        <v>88</v>
      </c>
      <c r="D755" t="s">
        <v>54</v>
      </c>
      <c r="E755" s="2">
        <v>13.25</v>
      </c>
      <c r="F755" s="2">
        <v>19.98</v>
      </c>
      <c r="G755" s="3">
        <v>40</v>
      </c>
      <c r="H755" s="3">
        <v>17</v>
      </c>
      <c r="I755" s="3">
        <v>23</v>
      </c>
      <c r="J755" s="3">
        <v>5</v>
      </c>
      <c r="K755" t="s">
        <v>20</v>
      </c>
      <c r="L755" s="2">
        <f t="shared" si="33"/>
        <v>6.73</v>
      </c>
      <c r="M755" s="2">
        <f t="shared" si="34"/>
        <v>339.66</v>
      </c>
      <c r="N755" s="2">
        <f t="shared" si="35"/>
        <v>114.41000000000001</v>
      </c>
    </row>
    <row r="756" spans="1:14">
      <c r="A756" t="s">
        <v>865</v>
      </c>
      <c r="B756" t="s">
        <v>69</v>
      </c>
      <c r="C756" t="s">
        <v>23</v>
      </c>
      <c r="D756" t="s">
        <v>42</v>
      </c>
      <c r="E756" s="2">
        <v>8.8699999999999992</v>
      </c>
      <c r="F756" s="2">
        <v>16.47</v>
      </c>
      <c r="G756" s="3">
        <v>69</v>
      </c>
      <c r="H756" s="3">
        <v>21</v>
      </c>
      <c r="I756" s="3">
        <v>48</v>
      </c>
      <c r="J756" s="3">
        <v>17</v>
      </c>
      <c r="K756" t="s">
        <v>20</v>
      </c>
      <c r="L756" s="2">
        <f t="shared" si="33"/>
        <v>7.6</v>
      </c>
      <c r="M756" s="2">
        <f t="shared" si="34"/>
        <v>345.87</v>
      </c>
      <c r="N756" s="2">
        <f t="shared" si="35"/>
        <v>159.6</v>
      </c>
    </row>
    <row r="757" spans="1:14">
      <c r="A757" t="s">
        <v>866</v>
      </c>
      <c r="B757" t="s">
        <v>32</v>
      </c>
      <c r="C757" t="s">
        <v>33</v>
      </c>
      <c r="D757" t="s">
        <v>100</v>
      </c>
      <c r="E757" s="2">
        <v>1.08</v>
      </c>
      <c r="F757" s="2">
        <v>2.17</v>
      </c>
      <c r="G757" s="3">
        <v>146</v>
      </c>
      <c r="H757" s="3">
        <v>41</v>
      </c>
      <c r="I757" s="3">
        <v>105</v>
      </c>
      <c r="J757" s="3">
        <v>22</v>
      </c>
      <c r="K757" t="s">
        <v>20</v>
      </c>
      <c r="L757" s="2">
        <f t="shared" si="33"/>
        <v>1.0899999999999999</v>
      </c>
      <c r="M757" s="2">
        <f t="shared" si="34"/>
        <v>88.97</v>
      </c>
      <c r="N757" s="2">
        <f t="shared" si="35"/>
        <v>44.69</v>
      </c>
    </row>
    <row r="758" spans="1:14">
      <c r="A758" t="s">
        <v>867</v>
      </c>
      <c r="B758" t="s">
        <v>92</v>
      </c>
      <c r="C758" t="s">
        <v>27</v>
      </c>
      <c r="D758" t="s">
        <v>77</v>
      </c>
      <c r="E758" s="2">
        <v>13.33</v>
      </c>
      <c r="F758" s="2">
        <v>19.98</v>
      </c>
      <c r="G758" s="3">
        <v>328</v>
      </c>
      <c r="H758" s="3">
        <v>177</v>
      </c>
      <c r="I758" s="3">
        <v>151</v>
      </c>
      <c r="J758" s="3">
        <v>77</v>
      </c>
      <c r="K758" t="s">
        <v>20</v>
      </c>
      <c r="L758" s="2">
        <f t="shared" si="33"/>
        <v>6.65</v>
      </c>
      <c r="M758" s="2">
        <f t="shared" si="34"/>
        <v>3536.46</v>
      </c>
      <c r="N758" s="2">
        <f t="shared" si="35"/>
        <v>1177.05</v>
      </c>
    </row>
    <row r="759" spans="1:14">
      <c r="A759" t="s">
        <v>868</v>
      </c>
      <c r="B759" t="s">
        <v>421</v>
      </c>
      <c r="C759" t="s">
        <v>33</v>
      </c>
      <c r="D759" t="s">
        <v>19</v>
      </c>
      <c r="E759" s="2">
        <v>6.44</v>
      </c>
      <c r="F759" s="2">
        <v>13.31</v>
      </c>
      <c r="G759" s="3">
        <v>218</v>
      </c>
      <c r="H759" s="3">
        <v>34</v>
      </c>
      <c r="I759" s="3">
        <v>184</v>
      </c>
      <c r="J759" s="3">
        <v>35</v>
      </c>
      <c r="K759" t="s">
        <v>20</v>
      </c>
      <c r="L759" s="2">
        <f t="shared" si="33"/>
        <v>6.87</v>
      </c>
      <c r="M759" s="2">
        <f t="shared" si="34"/>
        <v>452.54</v>
      </c>
      <c r="N759" s="2">
        <f t="shared" si="35"/>
        <v>233.58</v>
      </c>
    </row>
    <row r="760" spans="1:14">
      <c r="A760" t="s">
        <v>869</v>
      </c>
      <c r="B760" t="s">
        <v>52</v>
      </c>
      <c r="C760" t="s">
        <v>53</v>
      </c>
      <c r="D760" t="s">
        <v>14</v>
      </c>
      <c r="E760" s="2">
        <v>23.68</v>
      </c>
      <c r="F760" s="2">
        <v>46.94</v>
      </c>
      <c r="G760" s="3">
        <v>143</v>
      </c>
      <c r="H760" s="3">
        <v>84</v>
      </c>
      <c r="I760" s="3">
        <v>59</v>
      </c>
      <c r="J760" s="3">
        <v>21</v>
      </c>
      <c r="K760" t="s">
        <v>20</v>
      </c>
      <c r="L760" s="2">
        <f t="shared" si="33"/>
        <v>23.259999999999998</v>
      </c>
      <c r="M760" s="2">
        <f t="shared" si="34"/>
        <v>3942.96</v>
      </c>
      <c r="N760" s="2">
        <f t="shared" si="35"/>
        <v>1953.84</v>
      </c>
    </row>
    <row r="761" spans="1:14">
      <c r="A761" t="s">
        <v>870</v>
      </c>
      <c r="B761" t="s">
        <v>172</v>
      </c>
      <c r="C761" t="s">
        <v>18</v>
      </c>
      <c r="D761" t="s">
        <v>48</v>
      </c>
      <c r="E761" s="2">
        <v>10.93</v>
      </c>
      <c r="F761" s="2">
        <v>16.350000000000001</v>
      </c>
      <c r="G761" s="3">
        <v>457</v>
      </c>
      <c r="H761" s="3">
        <v>248</v>
      </c>
      <c r="I761" s="3">
        <v>209</v>
      </c>
      <c r="J761" s="3">
        <v>47</v>
      </c>
      <c r="K761" t="s">
        <v>20</v>
      </c>
      <c r="L761" s="2">
        <f t="shared" si="33"/>
        <v>5.4200000000000017</v>
      </c>
      <c r="M761" s="2">
        <f t="shared" si="34"/>
        <v>4054.8</v>
      </c>
      <c r="N761" s="2">
        <f t="shared" si="35"/>
        <v>1344.1600000000003</v>
      </c>
    </row>
    <row r="762" spans="1:14">
      <c r="A762" t="s">
        <v>871</v>
      </c>
      <c r="B762" t="s">
        <v>64</v>
      </c>
      <c r="C762" t="s">
        <v>18</v>
      </c>
      <c r="D762" t="s">
        <v>39</v>
      </c>
      <c r="E762" s="2">
        <v>8.59</v>
      </c>
      <c r="F762" s="2">
        <v>11.65</v>
      </c>
      <c r="G762" s="3">
        <v>382</v>
      </c>
      <c r="H762" s="3">
        <v>313</v>
      </c>
      <c r="I762" s="3">
        <v>69</v>
      </c>
      <c r="J762" s="3">
        <v>61</v>
      </c>
      <c r="K762" t="s">
        <v>20</v>
      </c>
      <c r="L762" s="2">
        <f t="shared" si="33"/>
        <v>3.0600000000000005</v>
      </c>
      <c r="M762" s="2">
        <f t="shared" si="34"/>
        <v>3646.4500000000003</v>
      </c>
      <c r="N762" s="2">
        <f t="shared" si="35"/>
        <v>957.7800000000002</v>
      </c>
    </row>
    <row r="763" spans="1:14">
      <c r="A763" t="s">
        <v>872</v>
      </c>
      <c r="B763" t="s">
        <v>167</v>
      </c>
      <c r="C763" t="s">
        <v>88</v>
      </c>
      <c r="D763" t="s">
        <v>24</v>
      </c>
      <c r="E763" s="2">
        <v>29.32</v>
      </c>
      <c r="F763" s="2">
        <v>47.09</v>
      </c>
      <c r="G763" s="3">
        <v>247</v>
      </c>
      <c r="H763" s="3">
        <v>139</v>
      </c>
      <c r="I763" s="3">
        <v>108</v>
      </c>
      <c r="J763" s="3">
        <v>29</v>
      </c>
      <c r="K763" t="s">
        <v>20</v>
      </c>
      <c r="L763" s="2">
        <f t="shared" si="33"/>
        <v>17.770000000000003</v>
      </c>
      <c r="M763" s="2">
        <f t="shared" si="34"/>
        <v>6545.51</v>
      </c>
      <c r="N763" s="2">
        <f t="shared" si="35"/>
        <v>2470.0300000000007</v>
      </c>
    </row>
    <row r="764" spans="1:14">
      <c r="A764" t="s">
        <v>873</v>
      </c>
      <c r="B764" t="s">
        <v>12</v>
      </c>
      <c r="C764" t="s">
        <v>13</v>
      </c>
      <c r="D764" t="s">
        <v>14</v>
      </c>
      <c r="E764" s="2">
        <v>2.9</v>
      </c>
      <c r="F764" s="2">
        <v>4.55</v>
      </c>
      <c r="G764" s="3">
        <v>392</v>
      </c>
      <c r="H764" s="3">
        <v>49</v>
      </c>
      <c r="I764" s="3">
        <v>343</v>
      </c>
      <c r="J764" s="3">
        <v>65</v>
      </c>
      <c r="K764" t="s">
        <v>20</v>
      </c>
      <c r="L764" s="2">
        <f t="shared" si="33"/>
        <v>1.65</v>
      </c>
      <c r="M764" s="2">
        <f t="shared" si="34"/>
        <v>222.95</v>
      </c>
      <c r="N764" s="2">
        <f t="shared" si="35"/>
        <v>80.849999999999994</v>
      </c>
    </row>
    <row r="765" spans="1:14">
      <c r="A765" t="s">
        <v>874</v>
      </c>
      <c r="B765" t="s">
        <v>66</v>
      </c>
      <c r="C765" t="s">
        <v>18</v>
      </c>
      <c r="D765" t="s">
        <v>24</v>
      </c>
      <c r="E765" s="2">
        <v>2.63</v>
      </c>
      <c r="F765" s="2">
        <v>5</v>
      </c>
      <c r="G765" s="3">
        <v>104</v>
      </c>
      <c r="H765" s="3">
        <v>36</v>
      </c>
      <c r="I765" s="3">
        <v>68</v>
      </c>
      <c r="J765" s="3">
        <v>18</v>
      </c>
      <c r="K765" t="s">
        <v>20</v>
      </c>
      <c r="L765" s="2">
        <f t="shared" si="33"/>
        <v>2.37</v>
      </c>
      <c r="M765" s="2">
        <f t="shared" si="34"/>
        <v>180</v>
      </c>
      <c r="N765" s="2">
        <f t="shared" si="35"/>
        <v>85.320000000000007</v>
      </c>
    </row>
    <row r="766" spans="1:14">
      <c r="A766" t="s">
        <v>875</v>
      </c>
      <c r="B766" t="s">
        <v>151</v>
      </c>
      <c r="C766" t="s">
        <v>53</v>
      </c>
      <c r="D766" t="s">
        <v>14</v>
      </c>
      <c r="E766" s="2">
        <v>33.29</v>
      </c>
      <c r="F766" s="2">
        <v>51.54</v>
      </c>
      <c r="G766" s="3">
        <v>427</v>
      </c>
      <c r="H766" s="3">
        <v>376</v>
      </c>
      <c r="I766" s="3">
        <v>51</v>
      </c>
      <c r="J766" s="3">
        <v>69</v>
      </c>
      <c r="K766" t="s">
        <v>15</v>
      </c>
      <c r="L766" s="2">
        <f t="shared" si="33"/>
        <v>18.25</v>
      </c>
      <c r="M766" s="2">
        <f t="shared" si="34"/>
        <v>19379.04</v>
      </c>
      <c r="N766" s="2">
        <f t="shared" si="35"/>
        <v>6862</v>
      </c>
    </row>
    <row r="767" spans="1:14">
      <c r="A767" t="s">
        <v>876</v>
      </c>
      <c r="B767" t="s">
        <v>248</v>
      </c>
      <c r="C767" t="s">
        <v>27</v>
      </c>
      <c r="D767" t="s">
        <v>100</v>
      </c>
      <c r="E767" s="2">
        <v>9.68</v>
      </c>
      <c r="F767" s="2">
        <v>20.88</v>
      </c>
      <c r="G767" s="3">
        <v>270</v>
      </c>
      <c r="H767" s="3">
        <v>231</v>
      </c>
      <c r="I767" s="3">
        <v>39</v>
      </c>
      <c r="J767" s="3">
        <v>47</v>
      </c>
      <c r="K767" t="s">
        <v>15</v>
      </c>
      <c r="L767" s="2">
        <f t="shared" si="33"/>
        <v>11.2</v>
      </c>
      <c r="M767" s="2">
        <f t="shared" si="34"/>
        <v>4823.28</v>
      </c>
      <c r="N767" s="2">
        <f t="shared" si="35"/>
        <v>2587.1999999999998</v>
      </c>
    </row>
    <row r="768" spans="1:14">
      <c r="A768" t="s">
        <v>877</v>
      </c>
      <c r="B768" t="s">
        <v>406</v>
      </c>
      <c r="C768" t="s">
        <v>18</v>
      </c>
      <c r="D768" t="s">
        <v>42</v>
      </c>
      <c r="E768" s="2">
        <v>6.26</v>
      </c>
      <c r="F768" s="2">
        <v>12.45</v>
      </c>
      <c r="G768" s="3">
        <v>240</v>
      </c>
      <c r="H768" s="3">
        <v>66</v>
      </c>
      <c r="I768" s="3">
        <v>174</v>
      </c>
      <c r="J768" s="3">
        <v>44</v>
      </c>
      <c r="K768" t="s">
        <v>20</v>
      </c>
      <c r="L768" s="2">
        <f t="shared" si="33"/>
        <v>6.1899999999999995</v>
      </c>
      <c r="M768" s="2">
        <f t="shared" si="34"/>
        <v>821.69999999999993</v>
      </c>
      <c r="N768" s="2">
        <f t="shared" si="35"/>
        <v>408.53999999999996</v>
      </c>
    </row>
    <row r="769" spans="1:14">
      <c r="A769" t="s">
        <v>878</v>
      </c>
      <c r="B769" t="s">
        <v>116</v>
      </c>
      <c r="C769" t="s">
        <v>23</v>
      </c>
      <c r="D769" t="s">
        <v>28</v>
      </c>
      <c r="E769" s="2">
        <v>17.22</v>
      </c>
      <c r="F769" s="2">
        <v>31.03</v>
      </c>
      <c r="G769" s="3">
        <v>256</v>
      </c>
      <c r="H769" s="3">
        <v>91</v>
      </c>
      <c r="I769" s="3">
        <v>165</v>
      </c>
      <c r="J769" s="3">
        <v>40</v>
      </c>
      <c r="K769" t="s">
        <v>20</v>
      </c>
      <c r="L769" s="2">
        <f t="shared" si="33"/>
        <v>13.810000000000002</v>
      </c>
      <c r="M769" s="2">
        <f t="shared" si="34"/>
        <v>2823.73</v>
      </c>
      <c r="N769" s="2">
        <f t="shared" si="35"/>
        <v>1256.7100000000003</v>
      </c>
    </row>
    <row r="770" spans="1:14">
      <c r="A770" t="s">
        <v>879</v>
      </c>
      <c r="B770" t="s">
        <v>128</v>
      </c>
      <c r="C770" t="s">
        <v>53</v>
      </c>
      <c r="D770" t="s">
        <v>100</v>
      </c>
      <c r="E770" s="2">
        <v>18.16</v>
      </c>
      <c r="F770" s="2">
        <v>36.76</v>
      </c>
      <c r="G770" s="3">
        <v>72</v>
      </c>
      <c r="H770" s="3">
        <v>26</v>
      </c>
      <c r="I770" s="3">
        <v>46</v>
      </c>
      <c r="J770" s="3">
        <v>16</v>
      </c>
      <c r="K770" t="s">
        <v>20</v>
      </c>
      <c r="L770" s="2">
        <f t="shared" si="33"/>
        <v>18.599999999999998</v>
      </c>
      <c r="M770" s="2">
        <f t="shared" si="34"/>
        <v>955.76</v>
      </c>
      <c r="N770" s="2">
        <f t="shared" si="35"/>
        <v>483.59999999999997</v>
      </c>
    </row>
    <row r="771" spans="1:14">
      <c r="A771" t="s">
        <v>880</v>
      </c>
      <c r="B771" t="s">
        <v>44</v>
      </c>
      <c r="C771" t="s">
        <v>13</v>
      </c>
      <c r="D771" t="s">
        <v>24</v>
      </c>
      <c r="E771" s="2">
        <v>9.6</v>
      </c>
      <c r="F771" s="2">
        <v>19.190000000000001</v>
      </c>
      <c r="G771" s="3">
        <v>318</v>
      </c>
      <c r="H771" s="3">
        <v>58</v>
      </c>
      <c r="I771" s="3">
        <v>260</v>
      </c>
      <c r="J771" s="3">
        <v>32</v>
      </c>
      <c r="K771" t="s">
        <v>20</v>
      </c>
      <c r="L771" s="2">
        <f t="shared" ref="L771:L834" si="36">F771-E771</f>
        <v>9.5900000000000016</v>
      </c>
      <c r="M771" s="2">
        <f t="shared" ref="M771:M834" si="37">H771*F771</f>
        <v>1113.02</v>
      </c>
      <c r="N771" s="2">
        <f t="shared" ref="N771:N834" si="38">H771*L771</f>
        <v>556.22000000000014</v>
      </c>
    </row>
    <row r="772" spans="1:14">
      <c r="A772" t="s">
        <v>881</v>
      </c>
      <c r="B772" t="s">
        <v>74</v>
      </c>
      <c r="C772" t="s">
        <v>23</v>
      </c>
      <c r="D772" t="s">
        <v>77</v>
      </c>
      <c r="E772" s="2">
        <v>19.399999999999999</v>
      </c>
      <c r="F772" s="2">
        <v>25.52</v>
      </c>
      <c r="G772" s="3">
        <v>201</v>
      </c>
      <c r="H772" s="3">
        <v>48</v>
      </c>
      <c r="I772" s="3">
        <v>153</v>
      </c>
      <c r="J772" s="3">
        <v>44</v>
      </c>
      <c r="K772" t="s">
        <v>20</v>
      </c>
      <c r="L772" s="2">
        <f t="shared" si="36"/>
        <v>6.120000000000001</v>
      </c>
      <c r="M772" s="2">
        <f t="shared" si="37"/>
        <v>1224.96</v>
      </c>
      <c r="N772" s="2">
        <f t="shared" si="38"/>
        <v>293.76000000000005</v>
      </c>
    </row>
    <row r="773" spans="1:14">
      <c r="A773" t="s">
        <v>882</v>
      </c>
      <c r="B773" t="s">
        <v>172</v>
      </c>
      <c r="C773" t="s">
        <v>18</v>
      </c>
      <c r="D773" t="s">
        <v>42</v>
      </c>
      <c r="E773" s="2">
        <v>8.86</v>
      </c>
      <c r="F773" s="2">
        <v>12.62</v>
      </c>
      <c r="G773" s="3">
        <v>44</v>
      </c>
      <c r="H773" s="3">
        <v>15</v>
      </c>
      <c r="I773" s="3">
        <v>29</v>
      </c>
      <c r="J773" s="3">
        <v>7</v>
      </c>
      <c r="K773" t="s">
        <v>20</v>
      </c>
      <c r="L773" s="2">
        <f t="shared" si="36"/>
        <v>3.76</v>
      </c>
      <c r="M773" s="2">
        <f t="shared" si="37"/>
        <v>189.29999999999998</v>
      </c>
      <c r="N773" s="2">
        <f t="shared" si="38"/>
        <v>56.4</v>
      </c>
    </row>
    <row r="774" spans="1:14">
      <c r="A774" t="s">
        <v>883</v>
      </c>
      <c r="B774" t="s">
        <v>141</v>
      </c>
      <c r="C774" t="s">
        <v>47</v>
      </c>
      <c r="D774" t="s">
        <v>24</v>
      </c>
      <c r="E774" s="2">
        <v>13.59</v>
      </c>
      <c r="F774" s="2">
        <v>28.91</v>
      </c>
      <c r="G774" s="3">
        <v>492</v>
      </c>
      <c r="H774" s="3">
        <v>69</v>
      </c>
      <c r="I774" s="3">
        <v>423</v>
      </c>
      <c r="J774" s="3">
        <v>97</v>
      </c>
      <c r="K774" t="s">
        <v>20</v>
      </c>
      <c r="L774" s="2">
        <f t="shared" si="36"/>
        <v>15.32</v>
      </c>
      <c r="M774" s="2">
        <f t="shared" si="37"/>
        <v>1994.79</v>
      </c>
      <c r="N774" s="2">
        <f t="shared" si="38"/>
        <v>1057.08</v>
      </c>
    </row>
    <row r="775" spans="1:14">
      <c r="A775" t="s">
        <v>884</v>
      </c>
      <c r="B775" t="s">
        <v>35</v>
      </c>
      <c r="C775" t="s">
        <v>13</v>
      </c>
      <c r="D775" t="s">
        <v>28</v>
      </c>
      <c r="E775" s="2">
        <v>4.63</v>
      </c>
      <c r="F775" s="2">
        <v>9.0399999999999991</v>
      </c>
      <c r="G775" s="3">
        <v>307</v>
      </c>
      <c r="H775" s="3">
        <v>63</v>
      </c>
      <c r="I775" s="3">
        <v>244</v>
      </c>
      <c r="J775" s="3">
        <v>53</v>
      </c>
      <c r="K775" t="s">
        <v>20</v>
      </c>
      <c r="L775" s="2">
        <f t="shared" si="36"/>
        <v>4.4099999999999993</v>
      </c>
      <c r="M775" s="2">
        <f t="shared" si="37"/>
        <v>569.52</v>
      </c>
      <c r="N775" s="2">
        <f t="shared" si="38"/>
        <v>277.82999999999993</v>
      </c>
    </row>
    <row r="776" spans="1:14">
      <c r="A776" t="s">
        <v>885</v>
      </c>
      <c r="B776" t="s">
        <v>85</v>
      </c>
      <c r="C776" t="s">
        <v>27</v>
      </c>
      <c r="D776" t="s">
        <v>100</v>
      </c>
      <c r="E776" s="2">
        <v>14.41</v>
      </c>
      <c r="F776" s="2">
        <v>21.81</v>
      </c>
      <c r="G776" s="3">
        <v>432</v>
      </c>
      <c r="H776" s="3">
        <v>190</v>
      </c>
      <c r="I776" s="3">
        <v>242</v>
      </c>
      <c r="J776" s="3">
        <v>56</v>
      </c>
      <c r="K776" t="s">
        <v>20</v>
      </c>
      <c r="L776" s="2">
        <f t="shared" si="36"/>
        <v>7.3999999999999986</v>
      </c>
      <c r="M776" s="2">
        <f t="shared" si="37"/>
        <v>4143.8999999999996</v>
      </c>
      <c r="N776" s="2">
        <f t="shared" si="38"/>
        <v>1405.9999999999998</v>
      </c>
    </row>
    <row r="777" spans="1:14">
      <c r="A777" t="s">
        <v>886</v>
      </c>
      <c r="B777" t="s">
        <v>64</v>
      </c>
      <c r="C777" t="s">
        <v>18</v>
      </c>
      <c r="D777" t="s">
        <v>39</v>
      </c>
      <c r="E777" s="2">
        <v>11.65</v>
      </c>
      <c r="F777" s="2">
        <v>20.25</v>
      </c>
      <c r="G777" s="3">
        <v>411</v>
      </c>
      <c r="H777" s="3">
        <v>363</v>
      </c>
      <c r="I777" s="3">
        <v>48</v>
      </c>
      <c r="J777" s="3">
        <v>48</v>
      </c>
      <c r="K777" t="s">
        <v>15</v>
      </c>
      <c r="L777" s="2">
        <f t="shared" si="36"/>
        <v>8.6</v>
      </c>
      <c r="M777" s="2">
        <f t="shared" si="37"/>
        <v>7350.75</v>
      </c>
      <c r="N777" s="2">
        <f t="shared" si="38"/>
        <v>3121.7999999999997</v>
      </c>
    </row>
    <row r="778" spans="1:14">
      <c r="A778" t="s">
        <v>887</v>
      </c>
      <c r="B778" t="s">
        <v>116</v>
      </c>
      <c r="C778" t="s">
        <v>23</v>
      </c>
      <c r="D778" t="s">
        <v>28</v>
      </c>
      <c r="E778" s="2">
        <v>22.38</v>
      </c>
      <c r="F778" s="2">
        <v>33.46</v>
      </c>
      <c r="G778" s="3">
        <v>112</v>
      </c>
      <c r="H778" s="3">
        <v>70</v>
      </c>
      <c r="I778" s="3">
        <v>42</v>
      </c>
      <c r="J778" s="3">
        <v>17</v>
      </c>
      <c r="K778" t="s">
        <v>20</v>
      </c>
      <c r="L778" s="2">
        <f t="shared" si="36"/>
        <v>11.080000000000002</v>
      </c>
      <c r="M778" s="2">
        <f t="shared" si="37"/>
        <v>2342.2000000000003</v>
      </c>
      <c r="N778" s="2">
        <f t="shared" si="38"/>
        <v>775.60000000000014</v>
      </c>
    </row>
    <row r="779" spans="1:14">
      <c r="A779" t="s">
        <v>888</v>
      </c>
      <c r="B779" t="s">
        <v>69</v>
      </c>
      <c r="C779" t="s">
        <v>23</v>
      </c>
      <c r="D779" t="s">
        <v>77</v>
      </c>
      <c r="E779" s="2">
        <v>22.2</v>
      </c>
      <c r="F779" s="2">
        <v>39.729999999999997</v>
      </c>
      <c r="G779" s="3">
        <v>43</v>
      </c>
      <c r="H779" s="3">
        <v>36</v>
      </c>
      <c r="I779" s="3">
        <v>7</v>
      </c>
      <c r="J779" s="3">
        <v>5</v>
      </c>
      <c r="K779" t="s">
        <v>20</v>
      </c>
      <c r="L779" s="2">
        <f t="shared" si="36"/>
        <v>17.529999999999998</v>
      </c>
      <c r="M779" s="2">
        <f t="shared" si="37"/>
        <v>1430.28</v>
      </c>
      <c r="N779" s="2">
        <f t="shared" si="38"/>
        <v>631.07999999999993</v>
      </c>
    </row>
    <row r="780" spans="1:14">
      <c r="A780" t="s">
        <v>889</v>
      </c>
      <c r="B780" t="s">
        <v>387</v>
      </c>
      <c r="C780" t="s">
        <v>88</v>
      </c>
      <c r="D780" t="s">
        <v>28</v>
      </c>
      <c r="E780" s="2">
        <v>24.12</v>
      </c>
      <c r="F780" s="2">
        <v>51.72</v>
      </c>
      <c r="G780" s="3">
        <v>262</v>
      </c>
      <c r="H780" s="3">
        <v>222</v>
      </c>
      <c r="I780" s="3">
        <v>40</v>
      </c>
      <c r="J780" s="3">
        <v>51</v>
      </c>
      <c r="K780" t="s">
        <v>15</v>
      </c>
      <c r="L780" s="2">
        <f t="shared" si="36"/>
        <v>27.599999999999998</v>
      </c>
      <c r="M780" s="2">
        <f t="shared" si="37"/>
        <v>11481.84</v>
      </c>
      <c r="N780" s="2">
        <f t="shared" si="38"/>
        <v>6127.2</v>
      </c>
    </row>
    <row r="781" spans="1:14">
      <c r="A781" t="s">
        <v>890</v>
      </c>
      <c r="B781" t="s">
        <v>104</v>
      </c>
      <c r="C781" t="s">
        <v>33</v>
      </c>
      <c r="D781" t="s">
        <v>39</v>
      </c>
      <c r="E781" s="2">
        <v>6.68</v>
      </c>
      <c r="F781" s="2">
        <v>11.76</v>
      </c>
      <c r="G781" s="3">
        <v>265</v>
      </c>
      <c r="H781" s="3">
        <v>216</v>
      </c>
      <c r="I781" s="3">
        <v>49</v>
      </c>
      <c r="J781" s="3">
        <v>65</v>
      </c>
      <c r="K781" t="s">
        <v>15</v>
      </c>
      <c r="L781" s="2">
        <f t="shared" si="36"/>
        <v>5.08</v>
      </c>
      <c r="M781" s="2">
        <f t="shared" si="37"/>
        <v>2540.16</v>
      </c>
      <c r="N781" s="2">
        <f t="shared" si="38"/>
        <v>1097.28</v>
      </c>
    </row>
    <row r="782" spans="1:14">
      <c r="A782" t="s">
        <v>891</v>
      </c>
      <c r="B782" t="s">
        <v>32</v>
      </c>
      <c r="C782" t="s">
        <v>33</v>
      </c>
      <c r="D782" t="s">
        <v>28</v>
      </c>
      <c r="E782" s="2">
        <v>8.3800000000000008</v>
      </c>
      <c r="F782" s="2">
        <v>15.61</v>
      </c>
      <c r="G782" s="3">
        <v>360</v>
      </c>
      <c r="H782" s="3">
        <v>328</v>
      </c>
      <c r="I782" s="3">
        <v>32</v>
      </c>
      <c r="J782" s="3">
        <v>71</v>
      </c>
      <c r="K782" t="s">
        <v>15</v>
      </c>
      <c r="L782" s="2">
        <f t="shared" si="36"/>
        <v>7.2299999999999986</v>
      </c>
      <c r="M782" s="2">
        <f t="shared" si="37"/>
        <v>5120.08</v>
      </c>
      <c r="N782" s="2">
        <f t="shared" si="38"/>
        <v>2371.4399999999996</v>
      </c>
    </row>
    <row r="783" spans="1:14">
      <c r="A783" t="s">
        <v>892</v>
      </c>
      <c r="B783" t="s">
        <v>12</v>
      </c>
      <c r="C783" t="s">
        <v>13</v>
      </c>
      <c r="D783" t="s">
        <v>24</v>
      </c>
      <c r="E783" s="2">
        <v>26.11</v>
      </c>
      <c r="F783" s="2">
        <v>52.8</v>
      </c>
      <c r="G783" s="3">
        <v>179</v>
      </c>
      <c r="H783" s="3">
        <v>49</v>
      </c>
      <c r="I783" s="3">
        <v>130</v>
      </c>
      <c r="J783" s="3">
        <v>37</v>
      </c>
      <c r="K783" t="s">
        <v>20</v>
      </c>
      <c r="L783" s="2">
        <f t="shared" si="36"/>
        <v>26.689999999999998</v>
      </c>
      <c r="M783" s="2">
        <f t="shared" si="37"/>
        <v>2587.1999999999998</v>
      </c>
      <c r="N783" s="2">
        <f t="shared" si="38"/>
        <v>1307.81</v>
      </c>
    </row>
    <row r="784" spans="1:14">
      <c r="A784" t="s">
        <v>893</v>
      </c>
      <c r="B784" t="s">
        <v>26</v>
      </c>
      <c r="C784" t="s">
        <v>27</v>
      </c>
      <c r="D784" t="s">
        <v>48</v>
      </c>
      <c r="E784" s="2">
        <v>8.69</v>
      </c>
      <c r="F784" s="2">
        <v>18.8</v>
      </c>
      <c r="G784" s="3">
        <v>104</v>
      </c>
      <c r="H784" s="3">
        <v>11</v>
      </c>
      <c r="I784" s="3">
        <v>93</v>
      </c>
      <c r="J784" s="3">
        <v>24</v>
      </c>
      <c r="K784" t="s">
        <v>20</v>
      </c>
      <c r="L784" s="2">
        <f t="shared" si="36"/>
        <v>10.110000000000001</v>
      </c>
      <c r="M784" s="2">
        <f t="shared" si="37"/>
        <v>206.8</v>
      </c>
      <c r="N784" s="2">
        <f t="shared" si="38"/>
        <v>111.21000000000001</v>
      </c>
    </row>
    <row r="785" spans="1:14">
      <c r="A785" t="s">
        <v>894</v>
      </c>
      <c r="B785" t="s">
        <v>17</v>
      </c>
      <c r="C785" t="s">
        <v>18</v>
      </c>
      <c r="D785" t="s">
        <v>14</v>
      </c>
      <c r="E785" s="2">
        <v>16.68</v>
      </c>
      <c r="F785" s="2">
        <v>35.89</v>
      </c>
      <c r="G785" s="3">
        <v>323</v>
      </c>
      <c r="H785" s="3">
        <v>208</v>
      </c>
      <c r="I785" s="3">
        <v>115</v>
      </c>
      <c r="J785" s="3">
        <v>39</v>
      </c>
      <c r="K785" t="s">
        <v>20</v>
      </c>
      <c r="L785" s="2">
        <f t="shared" si="36"/>
        <v>19.21</v>
      </c>
      <c r="M785" s="2">
        <f t="shared" si="37"/>
        <v>7465.12</v>
      </c>
      <c r="N785" s="2">
        <f t="shared" si="38"/>
        <v>3995.6800000000003</v>
      </c>
    </row>
    <row r="786" spans="1:14">
      <c r="A786" t="s">
        <v>895</v>
      </c>
      <c r="B786" t="s">
        <v>421</v>
      </c>
      <c r="C786" t="s">
        <v>33</v>
      </c>
      <c r="D786" t="s">
        <v>24</v>
      </c>
      <c r="E786" s="2">
        <v>2.46</v>
      </c>
      <c r="F786" s="2">
        <v>4.08</v>
      </c>
      <c r="G786" s="3">
        <v>396</v>
      </c>
      <c r="H786" s="3">
        <v>189</v>
      </c>
      <c r="I786" s="3">
        <v>207</v>
      </c>
      <c r="J786" s="3">
        <v>40</v>
      </c>
      <c r="K786" t="s">
        <v>20</v>
      </c>
      <c r="L786" s="2">
        <f t="shared" si="36"/>
        <v>1.62</v>
      </c>
      <c r="M786" s="2">
        <f t="shared" si="37"/>
        <v>771.12</v>
      </c>
      <c r="N786" s="2">
        <f t="shared" si="38"/>
        <v>306.18</v>
      </c>
    </row>
    <row r="787" spans="1:14">
      <c r="A787" t="s">
        <v>896</v>
      </c>
      <c r="B787" t="s">
        <v>323</v>
      </c>
      <c r="C787" t="s">
        <v>27</v>
      </c>
      <c r="D787" t="s">
        <v>39</v>
      </c>
      <c r="E787" s="2">
        <v>10.96</v>
      </c>
      <c r="F787" s="2">
        <v>23.12</v>
      </c>
      <c r="G787" s="3">
        <v>295</v>
      </c>
      <c r="H787" s="3">
        <v>266</v>
      </c>
      <c r="I787" s="3">
        <v>29</v>
      </c>
      <c r="J787" s="3">
        <v>34</v>
      </c>
      <c r="K787" t="s">
        <v>15</v>
      </c>
      <c r="L787" s="2">
        <f t="shared" si="36"/>
        <v>12.16</v>
      </c>
      <c r="M787" s="2">
        <f t="shared" si="37"/>
        <v>6149.92</v>
      </c>
      <c r="N787" s="2">
        <f t="shared" si="38"/>
        <v>3234.56</v>
      </c>
    </row>
    <row r="788" spans="1:14">
      <c r="A788" t="s">
        <v>897</v>
      </c>
      <c r="B788" t="s">
        <v>52</v>
      </c>
      <c r="C788" t="s">
        <v>53</v>
      </c>
      <c r="D788" t="s">
        <v>48</v>
      </c>
      <c r="E788" s="2">
        <v>21.01</v>
      </c>
      <c r="F788" s="2">
        <v>36.229999999999997</v>
      </c>
      <c r="G788" s="3">
        <v>20</v>
      </c>
      <c r="H788" s="3">
        <v>13</v>
      </c>
      <c r="I788" s="3">
        <v>7</v>
      </c>
      <c r="J788" s="3">
        <v>3</v>
      </c>
      <c r="K788" t="s">
        <v>20</v>
      </c>
      <c r="L788" s="2">
        <f t="shared" si="36"/>
        <v>15.219999999999995</v>
      </c>
      <c r="M788" s="2">
        <f t="shared" si="37"/>
        <v>470.98999999999995</v>
      </c>
      <c r="N788" s="2">
        <f t="shared" si="38"/>
        <v>197.85999999999993</v>
      </c>
    </row>
    <row r="789" spans="1:14">
      <c r="A789" t="s">
        <v>898</v>
      </c>
      <c r="B789" t="s">
        <v>104</v>
      </c>
      <c r="C789" t="s">
        <v>33</v>
      </c>
      <c r="D789" t="s">
        <v>42</v>
      </c>
      <c r="E789" s="2">
        <v>2.85</v>
      </c>
      <c r="F789" s="2">
        <v>4.62</v>
      </c>
      <c r="G789" s="3">
        <v>228</v>
      </c>
      <c r="H789" s="3">
        <v>187</v>
      </c>
      <c r="I789" s="3">
        <v>41</v>
      </c>
      <c r="J789" s="3">
        <v>25</v>
      </c>
      <c r="K789" t="s">
        <v>20</v>
      </c>
      <c r="L789" s="2">
        <f t="shared" si="36"/>
        <v>1.77</v>
      </c>
      <c r="M789" s="2">
        <f t="shared" si="37"/>
        <v>863.94</v>
      </c>
      <c r="N789" s="2">
        <f t="shared" si="38"/>
        <v>330.99</v>
      </c>
    </row>
    <row r="790" spans="1:14">
      <c r="A790" t="s">
        <v>899</v>
      </c>
      <c r="B790" t="s">
        <v>94</v>
      </c>
      <c r="C790" t="s">
        <v>33</v>
      </c>
      <c r="D790" t="s">
        <v>100</v>
      </c>
      <c r="E790" s="2">
        <v>9.8699999999999992</v>
      </c>
      <c r="F790" s="2">
        <v>13.86</v>
      </c>
      <c r="G790" s="3">
        <v>466</v>
      </c>
      <c r="H790" s="3">
        <v>415</v>
      </c>
      <c r="I790" s="3">
        <v>51</v>
      </c>
      <c r="J790" s="3">
        <v>101</v>
      </c>
      <c r="K790" t="s">
        <v>15</v>
      </c>
      <c r="L790" s="2">
        <f t="shared" si="36"/>
        <v>3.99</v>
      </c>
      <c r="M790" s="2">
        <f t="shared" si="37"/>
        <v>5751.9</v>
      </c>
      <c r="N790" s="2">
        <f t="shared" si="38"/>
        <v>1655.8500000000001</v>
      </c>
    </row>
    <row r="791" spans="1:14">
      <c r="A791" t="s">
        <v>900</v>
      </c>
      <c r="B791" t="s">
        <v>186</v>
      </c>
      <c r="C791" t="s">
        <v>13</v>
      </c>
      <c r="D791" t="s">
        <v>19</v>
      </c>
      <c r="E791" s="2">
        <v>29.22</v>
      </c>
      <c r="F791" s="2">
        <v>39.61</v>
      </c>
      <c r="G791" s="3">
        <v>337</v>
      </c>
      <c r="H791" s="3">
        <v>276</v>
      </c>
      <c r="I791" s="3">
        <v>61</v>
      </c>
      <c r="J791" s="3">
        <v>73</v>
      </c>
      <c r="K791" t="s">
        <v>15</v>
      </c>
      <c r="L791" s="2">
        <f t="shared" si="36"/>
        <v>10.39</v>
      </c>
      <c r="M791" s="2">
        <f t="shared" si="37"/>
        <v>10932.36</v>
      </c>
      <c r="N791" s="2">
        <f t="shared" si="38"/>
        <v>2867.6400000000003</v>
      </c>
    </row>
    <row r="792" spans="1:14">
      <c r="A792" t="s">
        <v>901</v>
      </c>
      <c r="B792" t="s">
        <v>141</v>
      </c>
      <c r="C792" t="s">
        <v>47</v>
      </c>
      <c r="D792" t="s">
        <v>100</v>
      </c>
      <c r="E792" s="2">
        <v>9.91</v>
      </c>
      <c r="F792" s="2">
        <v>21.53</v>
      </c>
      <c r="G792" s="3">
        <v>201</v>
      </c>
      <c r="H792" s="3">
        <v>46</v>
      </c>
      <c r="I792" s="3">
        <v>155</v>
      </c>
      <c r="J792" s="3">
        <v>34</v>
      </c>
      <c r="K792" t="s">
        <v>20</v>
      </c>
      <c r="L792" s="2">
        <f t="shared" si="36"/>
        <v>11.620000000000001</v>
      </c>
      <c r="M792" s="2">
        <f t="shared" si="37"/>
        <v>990.38000000000011</v>
      </c>
      <c r="N792" s="2">
        <f t="shared" si="38"/>
        <v>534.5200000000001</v>
      </c>
    </row>
    <row r="793" spans="1:14">
      <c r="A793" t="s">
        <v>902</v>
      </c>
      <c r="B793" t="s">
        <v>202</v>
      </c>
      <c r="C793" t="s">
        <v>13</v>
      </c>
      <c r="D793" t="s">
        <v>19</v>
      </c>
      <c r="E793" s="2">
        <v>12.36</v>
      </c>
      <c r="F793" s="2">
        <v>17.5</v>
      </c>
      <c r="G793" s="3">
        <v>471</v>
      </c>
      <c r="H793" s="3">
        <v>435</v>
      </c>
      <c r="I793" s="3">
        <v>36</v>
      </c>
      <c r="J793" s="3">
        <v>93</v>
      </c>
      <c r="K793" t="s">
        <v>15</v>
      </c>
      <c r="L793" s="2">
        <f t="shared" si="36"/>
        <v>5.1400000000000006</v>
      </c>
      <c r="M793" s="2">
        <f t="shared" si="37"/>
        <v>7612.5</v>
      </c>
      <c r="N793" s="2">
        <f t="shared" si="38"/>
        <v>2235.9</v>
      </c>
    </row>
    <row r="794" spans="1:14">
      <c r="A794" t="s">
        <v>903</v>
      </c>
      <c r="B794" t="s">
        <v>124</v>
      </c>
      <c r="C794" t="s">
        <v>88</v>
      </c>
      <c r="D794" t="s">
        <v>28</v>
      </c>
      <c r="E794" s="2">
        <v>69.400000000000006</v>
      </c>
      <c r="F794" s="2">
        <v>133.51</v>
      </c>
      <c r="G794" s="3">
        <v>462</v>
      </c>
      <c r="H794" s="3">
        <v>324</v>
      </c>
      <c r="I794" s="3">
        <v>138</v>
      </c>
      <c r="J794" s="3">
        <v>64</v>
      </c>
      <c r="K794" t="s">
        <v>20</v>
      </c>
      <c r="L794" s="2">
        <f t="shared" si="36"/>
        <v>64.109999999999985</v>
      </c>
      <c r="M794" s="2">
        <f t="shared" si="37"/>
        <v>43257.24</v>
      </c>
      <c r="N794" s="2">
        <f t="shared" si="38"/>
        <v>20771.639999999996</v>
      </c>
    </row>
    <row r="795" spans="1:14">
      <c r="A795" t="s">
        <v>904</v>
      </c>
      <c r="B795" t="s">
        <v>35</v>
      </c>
      <c r="C795" t="s">
        <v>13</v>
      </c>
      <c r="D795" t="s">
        <v>39</v>
      </c>
      <c r="E795" s="2">
        <v>9.07</v>
      </c>
      <c r="F795" s="2">
        <v>14.61</v>
      </c>
      <c r="G795" s="3">
        <v>142</v>
      </c>
      <c r="H795" s="3">
        <v>91</v>
      </c>
      <c r="I795" s="3">
        <v>51</v>
      </c>
      <c r="J795" s="3">
        <v>25</v>
      </c>
      <c r="K795" t="s">
        <v>20</v>
      </c>
      <c r="L795" s="2">
        <f t="shared" si="36"/>
        <v>5.5399999999999991</v>
      </c>
      <c r="M795" s="2">
        <f t="shared" si="37"/>
        <v>1329.51</v>
      </c>
      <c r="N795" s="2">
        <f t="shared" si="38"/>
        <v>504.13999999999993</v>
      </c>
    </row>
    <row r="796" spans="1:14">
      <c r="A796" t="s">
        <v>905</v>
      </c>
      <c r="B796" t="s">
        <v>26</v>
      </c>
      <c r="C796" t="s">
        <v>27</v>
      </c>
      <c r="D796" t="s">
        <v>39</v>
      </c>
      <c r="E796" s="2">
        <v>21.16</v>
      </c>
      <c r="F796" s="2">
        <v>32.83</v>
      </c>
      <c r="G796" s="3">
        <v>482</v>
      </c>
      <c r="H796" s="3">
        <v>150</v>
      </c>
      <c r="I796" s="3">
        <v>332</v>
      </c>
      <c r="J796" s="3">
        <v>108</v>
      </c>
      <c r="K796" t="s">
        <v>20</v>
      </c>
      <c r="L796" s="2">
        <f t="shared" si="36"/>
        <v>11.669999999999998</v>
      </c>
      <c r="M796" s="2">
        <f t="shared" si="37"/>
        <v>4924.5</v>
      </c>
      <c r="N796" s="2">
        <f t="shared" si="38"/>
        <v>1750.4999999999998</v>
      </c>
    </row>
    <row r="797" spans="1:14">
      <c r="A797" t="s">
        <v>906</v>
      </c>
      <c r="B797" t="s">
        <v>41</v>
      </c>
      <c r="C797" t="s">
        <v>23</v>
      </c>
      <c r="D797" t="s">
        <v>14</v>
      </c>
      <c r="E797" s="2">
        <v>10.45</v>
      </c>
      <c r="F797" s="2">
        <v>18.170000000000002</v>
      </c>
      <c r="G797" s="3">
        <v>472</v>
      </c>
      <c r="H797" s="3">
        <v>225</v>
      </c>
      <c r="I797" s="3">
        <v>247</v>
      </c>
      <c r="J797" s="3">
        <v>53</v>
      </c>
      <c r="K797" t="s">
        <v>20</v>
      </c>
      <c r="L797" s="2">
        <f t="shared" si="36"/>
        <v>7.7200000000000024</v>
      </c>
      <c r="M797" s="2">
        <f t="shared" si="37"/>
        <v>4088.2500000000005</v>
      </c>
      <c r="N797" s="2">
        <f t="shared" si="38"/>
        <v>1737.0000000000005</v>
      </c>
    </row>
    <row r="798" spans="1:14">
      <c r="A798" t="s">
        <v>907</v>
      </c>
      <c r="B798" t="s">
        <v>90</v>
      </c>
      <c r="C798" t="s">
        <v>88</v>
      </c>
      <c r="D798" t="s">
        <v>19</v>
      </c>
      <c r="E798" s="2">
        <v>11.71</v>
      </c>
      <c r="F798" s="2">
        <v>19.09</v>
      </c>
      <c r="G798" s="3">
        <v>405</v>
      </c>
      <c r="H798" s="3">
        <v>220</v>
      </c>
      <c r="I798" s="3">
        <v>185</v>
      </c>
      <c r="J798" s="3">
        <v>76</v>
      </c>
      <c r="K798" t="s">
        <v>20</v>
      </c>
      <c r="L798" s="2">
        <f t="shared" si="36"/>
        <v>7.379999999999999</v>
      </c>
      <c r="M798" s="2">
        <f t="shared" si="37"/>
        <v>4199.8</v>
      </c>
      <c r="N798" s="2">
        <f t="shared" si="38"/>
        <v>1623.5999999999997</v>
      </c>
    </row>
    <row r="799" spans="1:14">
      <c r="A799" t="s">
        <v>908</v>
      </c>
      <c r="B799" t="s">
        <v>62</v>
      </c>
      <c r="C799" t="s">
        <v>13</v>
      </c>
      <c r="D799" t="s">
        <v>100</v>
      </c>
      <c r="E799" s="2">
        <v>2.41</v>
      </c>
      <c r="F799" s="2">
        <v>4.51</v>
      </c>
      <c r="G799" s="3">
        <v>391</v>
      </c>
      <c r="H799" s="3">
        <v>367</v>
      </c>
      <c r="I799" s="3">
        <v>24</v>
      </c>
      <c r="J799" s="3">
        <v>70</v>
      </c>
      <c r="K799" t="s">
        <v>15</v>
      </c>
      <c r="L799" s="2">
        <f t="shared" si="36"/>
        <v>2.0999999999999996</v>
      </c>
      <c r="M799" s="2">
        <f t="shared" si="37"/>
        <v>1655.1699999999998</v>
      </c>
      <c r="N799" s="2">
        <f t="shared" si="38"/>
        <v>770.69999999999982</v>
      </c>
    </row>
    <row r="800" spans="1:14">
      <c r="A800" t="s">
        <v>909</v>
      </c>
      <c r="B800" t="s">
        <v>46</v>
      </c>
      <c r="C800" t="s">
        <v>47</v>
      </c>
      <c r="D800" t="s">
        <v>100</v>
      </c>
      <c r="E800" s="2">
        <v>14.75</v>
      </c>
      <c r="F800" s="2">
        <v>26.51</v>
      </c>
      <c r="G800" s="3">
        <v>349</v>
      </c>
      <c r="H800" s="3">
        <v>86</v>
      </c>
      <c r="I800" s="3">
        <v>263</v>
      </c>
      <c r="J800" s="3">
        <v>40</v>
      </c>
      <c r="K800" t="s">
        <v>20</v>
      </c>
      <c r="L800" s="2">
        <f t="shared" si="36"/>
        <v>11.760000000000002</v>
      </c>
      <c r="M800" s="2">
        <f t="shared" si="37"/>
        <v>2279.86</v>
      </c>
      <c r="N800" s="2">
        <f t="shared" si="38"/>
        <v>1011.3600000000001</v>
      </c>
    </row>
    <row r="801" spans="1:14">
      <c r="A801" t="s">
        <v>910</v>
      </c>
      <c r="B801" t="s">
        <v>202</v>
      </c>
      <c r="C801" t="s">
        <v>13</v>
      </c>
      <c r="D801" t="s">
        <v>42</v>
      </c>
      <c r="E801" s="2">
        <v>11.64</v>
      </c>
      <c r="F801" s="2">
        <v>20.14</v>
      </c>
      <c r="G801" s="3">
        <v>497</v>
      </c>
      <c r="H801" s="3">
        <v>334</v>
      </c>
      <c r="I801" s="3">
        <v>163</v>
      </c>
      <c r="J801" s="3">
        <v>52</v>
      </c>
      <c r="K801" t="s">
        <v>20</v>
      </c>
      <c r="L801" s="2">
        <f t="shared" si="36"/>
        <v>8.5</v>
      </c>
      <c r="M801" s="2">
        <f t="shared" si="37"/>
        <v>6726.76</v>
      </c>
      <c r="N801" s="2">
        <f t="shared" si="38"/>
        <v>2839</v>
      </c>
    </row>
    <row r="802" spans="1:14">
      <c r="A802" t="s">
        <v>911</v>
      </c>
      <c r="B802" t="s">
        <v>83</v>
      </c>
      <c r="C802" t="s">
        <v>47</v>
      </c>
      <c r="D802" t="s">
        <v>42</v>
      </c>
      <c r="E802" s="2">
        <v>0.66</v>
      </c>
      <c r="F802" s="2">
        <v>1.28</v>
      </c>
      <c r="G802" s="3">
        <v>443</v>
      </c>
      <c r="H802" s="3">
        <v>260</v>
      </c>
      <c r="I802" s="3">
        <v>183</v>
      </c>
      <c r="J802" s="3">
        <v>98</v>
      </c>
      <c r="K802" t="s">
        <v>20</v>
      </c>
      <c r="L802" s="2">
        <f t="shared" si="36"/>
        <v>0.62</v>
      </c>
      <c r="M802" s="2">
        <f t="shared" si="37"/>
        <v>332.8</v>
      </c>
      <c r="N802" s="2">
        <f t="shared" si="38"/>
        <v>161.19999999999999</v>
      </c>
    </row>
    <row r="803" spans="1:14">
      <c r="A803" t="s">
        <v>912</v>
      </c>
      <c r="B803" t="s">
        <v>227</v>
      </c>
      <c r="C803" t="s">
        <v>27</v>
      </c>
      <c r="D803" t="s">
        <v>28</v>
      </c>
      <c r="E803" s="2">
        <v>6.22</v>
      </c>
      <c r="F803" s="2">
        <v>11.66</v>
      </c>
      <c r="G803" s="3">
        <v>215</v>
      </c>
      <c r="H803" s="3">
        <v>117</v>
      </c>
      <c r="I803" s="3">
        <v>98</v>
      </c>
      <c r="J803" s="3">
        <v>34</v>
      </c>
      <c r="K803" t="s">
        <v>20</v>
      </c>
      <c r="L803" s="2">
        <f t="shared" si="36"/>
        <v>5.44</v>
      </c>
      <c r="M803" s="2">
        <f t="shared" si="37"/>
        <v>1364.22</v>
      </c>
      <c r="N803" s="2">
        <f t="shared" si="38"/>
        <v>636.48</v>
      </c>
    </row>
    <row r="804" spans="1:14">
      <c r="A804" t="s">
        <v>913</v>
      </c>
      <c r="B804" t="s">
        <v>72</v>
      </c>
      <c r="C804" t="s">
        <v>27</v>
      </c>
      <c r="D804" t="s">
        <v>54</v>
      </c>
      <c r="E804" s="2">
        <v>16.27</v>
      </c>
      <c r="F804" s="2">
        <v>25.13</v>
      </c>
      <c r="G804" s="3">
        <v>373</v>
      </c>
      <c r="H804" s="3">
        <v>231</v>
      </c>
      <c r="I804" s="3">
        <v>142</v>
      </c>
      <c r="J804" s="3">
        <v>65</v>
      </c>
      <c r="K804" t="s">
        <v>20</v>
      </c>
      <c r="L804" s="2">
        <f t="shared" si="36"/>
        <v>8.86</v>
      </c>
      <c r="M804" s="2">
        <f t="shared" si="37"/>
        <v>5805.03</v>
      </c>
      <c r="N804" s="2">
        <f t="shared" si="38"/>
        <v>2046.6599999999999</v>
      </c>
    </row>
    <row r="805" spans="1:14">
      <c r="A805" t="s">
        <v>914</v>
      </c>
      <c r="B805" t="s">
        <v>175</v>
      </c>
      <c r="C805" t="s">
        <v>88</v>
      </c>
      <c r="D805" t="s">
        <v>39</v>
      </c>
      <c r="E805" s="2">
        <v>38.93</v>
      </c>
      <c r="F805" s="2">
        <v>84.78</v>
      </c>
      <c r="G805" s="3">
        <v>220</v>
      </c>
      <c r="H805" s="3">
        <v>24</v>
      </c>
      <c r="I805" s="3">
        <v>196</v>
      </c>
      <c r="J805" s="3">
        <v>39</v>
      </c>
      <c r="K805" t="s">
        <v>20</v>
      </c>
      <c r="L805" s="2">
        <f t="shared" si="36"/>
        <v>45.85</v>
      </c>
      <c r="M805" s="2">
        <f t="shared" si="37"/>
        <v>2034.72</v>
      </c>
      <c r="N805" s="2">
        <f t="shared" si="38"/>
        <v>1100.4000000000001</v>
      </c>
    </row>
    <row r="806" spans="1:14">
      <c r="A806" t="s">
        <v>915</v>
      </c>
      <c r="B806" t="s">
        <v>135</v>
      </c>
      <c r="C806" t="s">
        <v>18</v>
      </c>
      <c r="D806" t="s">
        <v>48</v>
      </c>
      <c r="E806" s="2">
        <v>13.31</v>
      </c>
      <c r="F806" s="2">
        <v>24.5</v>
      </c>
      <c r="G806" s="3">
        <v>372</v>
      </c>
      <c r="H806" s="3">
        <v>201</v>
      </c>
      <c r="I806" s="3">
        <v>171</v>
      </c>
      <c r="J806" s="3">
        <v>86</v>
      </c>
      <c r="K806" t="s">
        <v>20</v>
      </c>
      <c r="L806" s="2">
        <f t="shared" si="36"/>
        <v>11.19</v>
      </c>
      <c r="M806" s="2">
        <f t="shared" si="37"/>
        <v>4924.5</v>
      </c>
      <c r="N806" s="2">
        <f t="shared" si="38"/>
        <v>2249.19</v>
      </c>
    </row>
    <row r="807" spans="1:14">
      <c r="A807" t="s">
        <v>916</v>
      </c>
      <c r="B807" t="s">
        <v>216</v>
      </c>
      <c r="C807" t="s">
        <v>23</v>
      </c>
      <c r="D807" t="s">
        <v>28</v>
      </c>
      <c r="E807" s="2">
        <v>20.79</v>
      </c>
      <c r="F807" s="2">
        <v>43.84</v>
      </c>
      <c r="G807" s="3">
        <v>71</v>
      </c>
      <c r="H807" s="3">
        <v>57</v>
      </c>
      <c r="I807" s="3">
        <v>14</v>
      </c>
      <c r="J807" s="3">
        <v>7</v>
      </c>
      <c r="K807" t="s">
        <v>20</v>
      </c>
      <c r="L807" s="2">
        <f t="shared" si="36"/>
        <v>23.050000000000004</v>
      </c>
      <c r="M807" s="2">
        <f t="shared" si="37"/>
        <v>2498.88</v>
      </c>
      <c r="N807" s="2">
        <f t="shared" si="38"/>
        <v>1313.8500000000001</v>
      </c>
    </row>
    <row r="808" spans="1:14">
      <c r="A808" t="s">
        <v>917</v>
      </c>
      <c r="B808" t="s">
        <v>126</v>
      </c>
      <c r="C808" t="s">
        <v>23</v>
      </c>
      <c r="D808" t="s">
        <v>77</v>
      </c>
      <c r="E808" s="2">
        <v>22.82</v>
      </c>
      <c r="F808" s="2">
        <v>34.700000000000003</v>
      </c>
      <c r="G808" s="3">
        <v>293</v>
      </c>
      <c r="H808" s="3">
        <v>200</v>
      </c>
      <c r="I808" s="3">
        <v>93</v>
      </c>
      <c r="J808" s="3">
        <v>36</v>
      </c>
      <c r="K808" t="s">
        <v>20</v>
      </c>
      <c r="L808" s="2">
        <f t="shared" si="36"/>
        <v>11.880000000000003</v>
      </c>
      <c r="M808" s="2">
        <f t="shared" si="37"/>
        <v>6940.0000000000009</v>
      </c>
      <c r="N808" s="2">
        <f t="shared" si="38"/>
        <v>2376.0000000000005</v>
      </c>
    </row>
    <row r="809" spans="1:14">
      <c r="A809" t="s">
        <v>918</v>
      </c>
      <c r="B809" t="s">
        <v>104</v>
      </c>
      <c r="C809" t="s">
        <v>33</v>
      </c>
      <c r="D809" t="s">
        <v>100</v>
      </c>
      <c r="E809" s="2">
        <v>2.62</v>
      </c>
      <c r="F809" s="2">
        <v>5.0199999999999996</v>
      </c>
      <c r="G809" s="3">
        <v>161</v>
      </c>
      <c r="H809" s="3">
        <v>120</v>
      </c>
      <c r="I809" s="3">
        <v>41</v>
      </c>
      <c r="J809" s="3">
        <v>39</v>
      </c>
      <c r="K809" t="s">
        <v>20</v>
      </c>
      <c r="L809" s="2">
        <f t="shared" si="36"/>
        <v>2.3999999999999995</v>
      </c>
      <c r="M809" s="2">
        <f t="shared" si="37"/>
        <v>602.4</v>
      </c>
      <c r="N809" s="2">
        <f t="shared" si="38"/>
        <v>287.99999999999994</v>
      </c>
    </row>
    <row r="810" spans="1:14">
      <c r="A810" t="s">
        <v>919</v>
      </c>
      <c r="B810" t="s">
        <v>35</v>
      </c>
      <c r="C810" t="s">
        <v>13</v>
      </c>
      <c r="D810" t="s">
        <v>54</v>
      </c>
      <c r="E810" s="2">
        <v>23.24</v>
      </c>
      <c r="F810" s="2">
        <v>36.06</v>
      </c>
      <c r="G810" s="3">
        <v>115</v>
      </c>
      <c r="H810" s="3">
        <v>56</v>
      </c>
      <c r="I810" s="3">
        <v>59</v>
      </c>
      <c r="J810" s="3">
        <v>22</v>
      </c>
      <c r="K810" t="s">
        <v>20</v>
      </c>
      <c r="L810" s="2">
        <f t="shared" si="36"/>
        <v>12.820000000000004</v>
      </c>
      <c r="M810" s="2">
        <f t="shared" si="37"/>
        <v>2019.3600000000001</v>
      </c>
      <c r="N810" s="2">
        <f t="shared" si="38"/>
        <v>717.92000000000019</v>
      </c>
    </row>
    <row r="811" spans="1:14">
      <c r="A811" t="s">
        <v>920</v>
      </c>
      <c r="B811" t="s">
        <v>32</v>
      </c>
      <c r="C811" t="s">
        <v>33</v>
      </c>
      <c r="D811" t="s">
        <v>42</v>
      </c>
      <c r="E811" s="2">
        <v>2.59</v>
      </c>
      <c r="F811" s="2">
        <v>5.19</v>
      </c>
      <c r="G811" s="3">
        <v>305</v>
      </c>
      <c r="H811" s="3">
        <v>145</v>
      </c>
      <c r="I811" s="3">
        <v>160</v>
      </c>
      <c r="J811" s="3">
        <v>74</v>
      </c>
      <c r="K811" t="s">
        <v>20</v>
      </c>
      <c r="L811" s="2">
        <f t="shared" si="36"/>
        <v>2.6000000000000005</v>
      </c>
      <c r="M811" s="2">
        <f t="shared" si="37"/>
        <v>752.55000000000007</v>
      </c>
      <c r="N811" s="2">
        <f t="shared" si="38"/>
        <v>377.00000000000006</v>
      </c>
    </row>
    <row r="812" spans="1:14">
      <c r="A812" t="s">
        <v>921</v>
      </c>
      <c r="B812" t="s">
        <v>76</v>
      </c>
      <c r="C812" t="s">
        <v>27</v>
      </c>
      <c r="D812" t="s">
        <v>28</v>
      </c>
      <c r="E812" s="2">
        <v>17.03</v>
      </c>
      <c r="F812" s="2">
        <v>31.5</v>
      </c>
      <c r="G812" s="3">
        <v>457</v>
      </c>
      <c r="H812" s="3">
        <v>428</v>
      </c>
      <c r="I812" s="3">
        <v>29</v>
      </c>
      <c r="J812" s="3">
        <v>55</v>
      </c>
      <c r="K812" t="s">
        <v>15</v>
      </c>
      <c r="L812" s="2">
        <f t="shared" si="36"/>
        <v>14.469999999999999</v>
      </c>
      <c r="M812" s="2">
        <f t="shared" si="37"/>
        <v>13482</v>
      </c>
      <c r="N812" s="2">
        <f t="shared" si="38"/>
        <v>6193.16</v>
      </c>
    </row>
    <row r="813" spans="1:14">
      <c r="A813" t="s">
        <v>922</v>
      </c>
      <c r="B813" t="s">
        <v>87</v>
      </c>
      <c r="C813" t="s">
        <v>88</v>
      </c>
      <c r="D813" t="s">
        <v>24</v>
      </c>
      <c r="E813" s="2">
        <v>73.22</v>
      </c>
      <c r="F813" s="2">
        <v>104.14</v>
      </c>
      <c r="G813" s="3">
        <v>251</v>
      </c>
      <c r="H813" s="3">
        <v>65</v>
      </c>
      <c r="I813" s="3">
        <v>186</v>
      </c>
      <c r="J813" s="3">
        <v>31</v>
      </c>
      <c r="K813" t="s">
        <v>20</v>
      </c>
      <c r="L813" s="2">
        <f t="shared" si="36"/>
        <v>30.92</v>
      </c>
      <c r="M813" s="2">
        <f t="shared" si="37"/>
        <v>6769.1</v>
      </c>
      <c r="N813" s="2">
        <f t="shared" si="38"/>
        <v>2009.8000000000002</v>
      </c>
    </row>
    <row r="814" spans="1:14">
      <c r="A814" t="s">
        <v>923</v>
      </c>
      <c r="B814" t="s">
        <v>56</v>
      </c>
      <c r="C814" t="s">
        <v>23</v>
      </c>
      <c r="D814" t="s">
        <v>77</v>
      </c>
      <c r="E814" s="2">
        <v>18.2</v>
      </c>
      <c r="F814" s="2">
        <v>28.44</v>
      </c>
      <c r="G814" s="3">
        <v>204</v>
      </c>
      <c r="H814" s="3">
        <v>188</v>
      </c>
      <c r="I814" s="3">
        <v>16</v>
      </c>
      <c r="J814" s="3">
        <v>43</v>
      </c>
      <c r="K814" t="s">
        <v>15</v>
      </c>
      <c r="L814" s="2">
        <f t="shared" si="36"/>
        <v>10.240000000000002</v>
      </c>
      <c r="M814" s="2">
        <f t="shared" si="37"/>
        <v>5346.72</v>
      </c>
      <c r="N814" s="2">
        <f t="shared" si="38"/>
        <v>1925.1200000000003</v>
      </c>
    </row>
    <row r="815" spans="1:14">
      <c r="A815" t="s">
        <v>924</v>
      </c>
      <c r="B815" t="s">
        <v>102</v>
      </c>
      <c r="C815" t="s">
        <v>53</v>
      </c>
      <c r="D815" t="s">
        <v>42</v>
      </c>
      <c r="E815" s="2">
        <v>19.190000000000001</v>
      </c>
      <c r="F815" s="2">
        <v>33.35</v>
      </c>
      <c r="G815" s="3">
        <v>189</v>
      </c>
      <c r="H815" s="3">
        <v>153</v>
      </c>
      <c r="I815" s="3">
        <v>36</v>
      </c>
      <c r="J815" s="3">
        <v>40</v>
      </c>
      <c r="K815" t="s">
        <v>15</v>
      </c>
      <c r="L815" s="2">
        <f t="shared" si="36"/>
        <v>14.16</v>
      </c>
      <c r="M815" s="2">
        <f t="shared" si="37"/>
        <v>5102.55</v>
      </c>
      <c r="N815" s="2">
        <f t="shared" si="38"/>
        <v>2166.48</v>
      </c>
    </row>
    <row r="816" spans="1:14">
      <c r="A816" t="s">
        <v>925</v>
      </c>
      <c r="B816" t="s">
        <v>149</v>
      </c>
      <c r="C816" t="s">
        <v>47</v>
      </c>
      <c r="D816" t="s">
        <v>100</v>
      </c>
      <c r="E816" s="2">
        <v>4.8099999999999996</v>
      </c>
      <c r="F816" s="2">
        <v>9.86</v>
      </c>
      <c r="G816" s="3">
        <v>379</v>
      </c>
      <c r="H816" s="3">
        <v>212</v>
      </c>
      <c r="I816" s="3">
        <v>167</v>
      </c>
      <c r="J816" s="3">
        <v>55</v>
      </c>
      <c r="K816" t="s">
        <v>20</v>
      </c>
      <c r="L816" s="2">
        <f t="shared" si="36"/>
        <v>5.05</v>
      </c>
      <c r="M816" s="2">
        <f t="shared" si="37"/>
        <v>2090.3199999999997</v>
      </c>
      <c r="N816" s="2">
        <f t="shared" si="38"/>
        <v>1070.5999999999999</v>
      </c>
    </row>
    <row r="817" spans="1:14">
      <c r="A817" t="s">
        <v>926</v>
      </c>
      <c r="B817" t="s">
        <v>147</v>
      </c>
      <c r="C817" t="s">
        <v>33</v>
      </c>
      <c r="D817" t="s">
        <v>19</v>
      </c>
      <c r="E817" s="2">
        <v>5.71</v>
      </c>
      <c r="F817" s="2">
        <v>10.97</v>
      </c>
      <c r="G817" s="3">
        <v>304</v>
      </c>
      <c r="H817" s="3">
        <v>160</v>
      </c>
      <c r="I817" s="3">
        <v>144</v>
      </c>
      <c r="J817" s="3">
        <v>46</v>
      </c>
      <c r="K817" t="s">
        <v>20</v>
      </c>
      <c r="L817" s="2">
        <f t="shared" si="36"/>
        <v>5.2600000000000007</v>
      </c>
      <c r="M817" s="2">
        <f t="shared" si="37"/>
        <v>1755.2</v>
      </c>
      <c r="N817" s="2">
        <f t="shared" si="38"/>
        <v>841.60000000000014</v>
      </c>
    </row>
    <row r="818" spans="1:14">
      <c r="A818" t="s">
        <v>927</v>
      </c>
      <c r="B818" t="s">
        <v>167</v>
      </c>
      <c r="C818" t="s">
        <v>88</v>
      </c>
      <c r="D818" t="s">
        <v>24</v>
      </c>
      <c r="E818" s="2">
        <v>44.31</v>
      </c>
      <c r="F818" s="2">
        <v>78.209999999999994</v>
      </c>
      <c r="G818" s="3">
        <v>335</v>
      </c>
      <c r="H818" s="3">
        <v>46</v>
      </c>
      <c r="I818" s="3">
        <v>289</v>
      </c>
      <c r="J818" s="3">
        <v>78</v>
      </c>
      <c r="K818" t="s">
        <v>20</v>
      </c>
      <c r="L818" s="2">
        <f t="shared" si="36"/>
        <v>33.899999999999991</v>
      </c>
      <c r="M818" s="2">
        <f t="shared" si="37"/>
        <v>3597.66</v>
      </c>
      <c r="N818" s="2">
        <f t="shared" si="38"/>
        <v>1559.3999999999996</v>
      </c>
    </row>
    <row r="819" spans="1:14">
      <c r="A819" t="s">
        <v>928</v>
      </c>
      <c r="B819" t="s">
        <v>60</v>
      </c>
      <c r="C819" t="s">
        <v>47</v>
      </c>
      <c r="D819" t="s">
        <v>39</v>
      </c>
      <c r="E819" s="2">
        <v>5.55</v>
      </c>
      <c r="F819" s="2">
        <v>7.38</v>
      </c>
      <c r="G819" s="3">
        <v>323</v>
      </c>
      <c r="H819" s="3">
        <v>156</v>
      </c>
      <c r="I819" s="3">
        <v>167</v>
      </c>
      <c r="J819" s="3">
        <v>65</v>
      </c>
      <c r="K819" t="s">
        <v>20</v>
      </c>
      <c r="L819" s="2">
        <f t="shared" si="36"/>
        <v>1.83</v>
      </c>
      <c r="M819" s="2">
        <f t="shared" si="37"/>
        <v>1151.28</v>
      </c>
      <c r="N819" s="2">
        <f t="shared" si="38"/>
        <v>285.48</v>
      </c>
    </row>
    <row r="820" spans="1:14">
      <c r="A820" t="s">
        <v>929</v>
      </c>
      <c r="B820" t="s">
        <v>30</v>
      </c>
      <c r="C820" t="s">
        <v>13</v>
      </c>
      <c r="D820" t="s">
        <v>14</v>
      </c>
      <c r="E820" s="2">
        <v>27.93</v>
      </c>
      <c r="F820" s="2">
        <v>54.07</v>
      </c>
      <c r="G820" s="3">
        <v>181</v>
      </c>
      <c r="H820" s="3">
        <v>148</v>
      </c>
      <c r="I820" s="3">
        <v>33</v>
      </c>
      <c r="J820" s="3">
        <v>31</v>
      </c>
      <c r="K820" t="s">
        <v>20</v>
      </c>
      <c r="L820" s="2">
        <f t="shared" si="36"/>
        <v>26.14</v>
      </c>
      <c r="M820" s="2">
        <f t="shared" si="37"/>
        <v>8002.36</v>
      </c>
      <c r="N820" s="2">
        <f t="shared" si="38"/>
        <v>3868.7200000000003</v>
      </c>
    </row>
    <row r="821" spans="1:14">
      <c r="A821" t="s">
        <v>930</v>
      </c>
      <c r="B821" t="s">
        <v>351</v>
      </c>
      <c r="C821" t="s">
        <v>47</v>
      </c>
      <c r="D821" t="s">
        <v>19</v>
      </c>
      <c r="E821" s="2">
        <v>7.8</v>
      </c>
      <c r="F821" s="2">
        <v>13.91</v>
      </c>
      <c r="G821" s="3">
        <v>25</v>
      </c>
      <c r="H821" s="3">
        <v>21</v>
      </c>
      <c r="I821" s="3">
        <v>4</v>
      </c>
      <c r="J821" s="3">
        <v>2</v>
      </c>
      <c r="K821" t="s">
        <v>20</v>
      </c>
      <c r="L821" s="2">
        <f t="shared" si="36"/>
        <v>6.11</v>
      </c>
      <c r="M821" s="2">
        <f t="shared" si="37"/>
        <v>292.11</v>
      </c>
      <c r="N821" s="2">
        <f t="shared" si="38"/>
        <v>128.31</v>
      </c>
    </row>
    <row r="822" spans="1:14">
      <c r="A822" t="s">
        <v>931</v>
      </c>
      <c r="B822" t="s">
        <v>26</v>
      </c>
      <c r="C822" t="s">
        <v>27</v>
      </c>
      <c r="D822" t="s">
        <v>19</v>
      </c>
      <c r="E822" s="2">
        <v>22.1</v>
      </c>
      <c r="F822" s="2">
        <v>31.97</v>
      </c>
      <c r="G822" s="3">
        <v>335</v>
      </c>
      <c r="H822" s="3">
        <v>80</v>
      </c>
      <c r="I822" s="3">
        <v>255</v>
      </c>
      <c r="J822" s="3">
        <v>60</v>
      </c>
      <c r="K822" t="s">
        <v>20</v>
      </c>
      <c r="L822" s="2">
        <f t="shared" si="36"/>
        <v>9.8699999999999974</v>
      </c>
      <c r="M822" s="2">
        <f t="shared" si="37"/>
        <v>2557.6</v>
      </c>
      <c r="N822" s="2">
        <f t="shared" si="38"/>
        <v>789.5999999999998</v>
      </c>
    </row>
    <row r="823" spans="1:14">
      <c r="A823" t="s">
        <v>932</v>
      </c>
      <c r="B823" t="s">
        <v>175</v>
      </c>
      <c r="C823" t="s">
        <v>88</v>
      </c>
      <c r="D823" t="s">
        <v>39</v>
      </c>
      <c r="E823" s="2">
        <v>29.71</v>
      </c>
      <c r="F823" s="2">
        <v>46.01</v>
      </c>
      <c r="G823" s="3">
        <v>234</v>
      </c>
      <c r="H823" s="3">
        <v>160</v>
      </c>
      <c r="I823" s="3">
        <v>74</v>
      </c>
      <c r="J823" s="3">
        <v>30</v>
      </c>
      <c r="K823" t="s">
        <v>20</v>
      </c>
      <c r="L823" s="2">
        <f t="shared" si="36"/>
        <v>16.299999999999997</v>
      </c>
      <c r="M823" s="2">
        <f t="shared" si="37"/>
        <v>7361.5999999999995</v>
      </c>
      <c r="N823" s="2">
        <f t="shared" si="38"/>
        <v>2607.9999999999995</v>
      </c>
    </row>
    <row r="824" spans="1:14">
      <c r="A824" t="s">
        <v>933</v>
      </c>
      <c r="B824" t="s">
        <v>167</v>
      </c>
      <c r="C824" t="s">
        <v>88</v>
      </c>
      <c r="D824" t="s">
        <v>19</v>
      </c>
      <c r="E824" s="2">
        <v>23.43</v>
      </c>
      <c r="F824" s="2">
        <v>37.9</v>
      </c>
      <c r="G824" s="3">
        <v>112</v>
      </c>
      <c r="H824" s="3">
        <v>92</v>
      </c>
      <c r="I824" s="3">
        <v>20</v>
      </c>
      <c r="J824" s="3">
        <v>17</v>
      </c>
      <c r="K824" t="s">
        <v>20</v>
      </c>
      <c r="L824" s="2">
        <f t="shared" si="36"/>
        <v>14.469999999999999</v>
      </c>
      <c r="M824" s="2">
        <f t="shared" si="37"/>
        <v>3486.7999999999997</v>
      </c>
      <c r="N824" s="2">
        <f t="shared" si="38"/>
        <v>1331.2399999999998</v>
      </c>
    </row>
    <row r="825" spans="1:14">
      <c r="A825" t="s">
        <v>934</v>
      </c>
      <c r="B825" t="s">
        <v>186</v>
      </c>
      <c r="C825" t="s">
        <v>13</v>
      </c>
      <c r="D825" t="s">
        <v>77</v>
      </c>
      <c r="E825" s="2">
        <v>4.43</v>
      </c>
      <c r="F825" s="2">
        <v>8.51</v>
      </c>
      <c r="G825" s="3">
        <v>445</v>
      </c>
      <c r="H825" s="3">
        <v>198</v>
      </c>
      <c r="I825" s="3">
        <v>247</v>
      </c>
      <c r="J825" s="3">
        <v>69</v>
      </c>
      <c r="K825" t="s">
        <v>20</v>
      </c>
      <c r="L825" s="2">
        <f t="shared" si="36"/>
        <v>4.08</v>
      </c>
      <c r="M825" s="2">
        <f t="shared" si="37"/>
        <v>1684.98</v>
      </c>
      <c r="N825" s="2">
        <f t="shared" si="38"/>
        <v>807.84</v>
      </c>
    </row>
    <row r="826" spans="1:14">
      <c r="A826" t="s">
        <v>935</v>
      </c>
      <c r="B826" t="s">
        <v>64</v>
      </c>
      <c r="C826" t="s">
        <v>18</v>
      </c>
      <c r="D826" t="s">
        <v>19</v>
      </c>
      <c r="E826" s="2">
        <v>1.48</v>
      </c>
      <c r="F826" s="2">
        <v>2.94</v>
      </c>
      <c r="G826" s="3">
        <v>157</v>
      </c>
      <c r="H826" s="3">
        <v>47</v>
      </c>
      <c r="I826" s="3">
        <v>110</v>
      </c>
      <c r="J826" s="3">
        <v>17</v>
      </c>
      <c r="K826" t="s">
        <v>20</v>
      </c>
      <c r="L826" s="2">
        <f t="shared" si="36"/>
        <v>1.46</v>
      </c>
      <c r="M826" s="2">
        <f t="shared" si="37"/>
        <v>138.18</v>
      </c>
      <c r="N826" s="2">
        <f t="shared" si="38"/>
        <v>68.62</v>
      </c>
    </row>
    <row r="827" spans="1:14">
      <c r="A827" t="s">
        <v>936</v>
      </c>
      <c r="B827" t="s">
        <v>92</v>
      </c>
      <c r="C827" t="s">
        <v>27</v>
      </c>
      <c r="D827" t="s">
        <v>42</v>
      </c>
      <c r="E827" s="2">
        <v>7.87</v>
      </c>
      <c r="F827" s="2">
        <v>16.57</v>
      </c>
      <c r="G827" s="3">
        <v>298</v>
      </c>
      <c r="H827" s="3">
        <v>255</v>
      </c>
      <c r="I827" s="3">
        <v>43</v>
      </c>
      <c r="J827" s="3">
        <v>42</v>
      </c>
      <c r="K827" t="s">
        <v>20</v>
      </c>
      <c r="L827" s="2">
        <f t="shared" si="36"/>
        <v>8.6999999999999993</v>
      </c>
      <c r="M827" s="2">
        <f t="shared" si="37"/>
        <v>4225.3500000000004</v>
      </c>
      <c r="N827" s="2">
        <f t="shared" si="38"/>
        <v>2218.5</v>
      </c>
    </row>
    <row r="828" spans="1:14">
      <c r="A828" t="s">
        <v>937</v>
      </c>
      <c r="B828" t="s">
        <v>72</v>
      </c>
      <c r="C828" t="s">
        <v>27</v>
      </c>
      <c r="D828" t="s">
        <v>24</v>
      </c>
      <c r="E828" s="2">
        <v>17.670000000000002</v>
      </c>
      <c r="F828" s="2">
        <v>26.49</v>
      </c>
      <c r="G828" s="3">
        <v>70</v>
      </c>
      <c r="H828" s="3">
        <v>62</v>
      </c>
      <c r="I828" s="3">
        <v>8</v>
      </c>
      <c r="J828" s="3">
        <v>13</v>
      </c>
      <c r="K828" t="s">
        <v>15</v>
      </c>
      <c r="L828" s="2">
        <f t="shared" si="36"/>
        <v>8.8199999999999967</v>
      </c>
      <c r="M828" s="2">
        <f t="shared" si="37"/>
        <v>1642.3799999999999</v>
      </c>
      <c r="N828" s="2">
        <f t="shared" si="38"/>
        <v>546.8399999999998</v>
      </c>
    </row>
    <row r="829" spans="1:14">
      <c r="A829" t="s">
        <v>938</v>
      </c>
      <c r="B829" t="s">
        <v>81</v>
      </c>
      <c r="C829" t="s">
        <v>47</v>
      </c>
      <c r="D829" t="s">
        <v>77</v>
      </c>
      <c r="E829" s="2">
        <v>4.37</v>
      </c>
      <c r="F829" s="2">
        <v>9.6</v>
      </c>
      <c r="G829" s="3">
        <v>83</v>
      </c>
      <c r="H829" s="3">
        <v>21</v>
      </c>
      <c r="I829" s="3">
        <v>62</v>
      </c>
      <c r="J829" s="3">
        <v>15</v>
      </c>
      <c r="K829" t="s">
        <v>20</v>
      </c>
      <c r="L829" s="2">
        <f t="shared" si="36"/>
        <v>5.2299999999999995</v>
      </c>
      <c r="M829" s="2">
        <f t="shared" si="37"/>
        <v>201.6</v>
      </c>
      <c r="N829" s="2">
        <f t="shared" si="38"/>
        <v>109.82999999999998</v>
      </c>
    </row>
    <row r="830" spans="1:14">
      <c r="A830" t="s">
        <v>939</v>
      </c>
      <c r="B830" t="s">
        <v>116</v>
      </c>
      <c r="C830" t="s">
        <v>23</v>
      </c>
      <c r="D830" t="s">
        <v>14</v>
      </c>
      <c r="E830" s="2">
        <v>23.24</v>
      </c>
      <c r="F830" s="2">
        <v>34.14</v>
      </c>
      <c r="G830" s="3">
        <v>361</v>
      </c>
      <c r="H830" s="3">
        <v>234</v>
      </c>
      <c r="I830" s="3">
        <v>127</v>
      </c>
      <c r="J830" s="3">
        <v>77</v>
      </c>
      <c r="K830" t="s">
        <v>20</v>
      </c>
      <c r="L830" s="2">
        <f t="shared" si="36"/>
        <v>10.900000000000002</v>
      </c>
      <c r="M830" s="2">
        <f t="shared" si="37"/>
        <v>7988.76</v>
      </c>
      <c r="N830" s="2">
        <f t="shared" si="38"/>
        <v>2550.6000000000004</v>
      </c>
    </row>
    <row r="831" spans="1:14">
      <c r="A831" t="s">
        <v>940</v>
      </c>
      <c r="B831" t="s">
        <v>90</v>
      </c>
      <c r="C831" t="s">
        <v>88</v>
      </c>
      <c r="D831" t="s">
        <v>54</v>
      </c>
      <c r="E831" s="2">
        <v>78.650000000000006</v>
      </c>
      <c r="F831" s="2">
        <v>130.46</v>
      </c>
      <c r="G831" s="3">
        <v>297</v>
      </c>
      <c r="H831" s="3">
        <v>118</v>
      </c>
      <c r="I831" s="3">
        <v>179</v>
      </c>
      <c r="J831" s="3">
        <v>40</v>
      </c>
      <c r="K831" t="s">
        <v>20</v>
      </c>
      <c r="L831" s="2">
        <f t="shared" si="36"/>
        <v>51.81</v>
      </c>
      <c r="M831" s="2">
        <f t="shared" si="37"/>
        <v>15394.28</v>
      </c>
      <c r="N831" s="2">
        <f t="shared" si="38"/>
        <v>6113.58</v>
      </c>
    </row>
    <row r="832" spans="1:14">
      <c r="A832" t="s">
        <v>941</v>
      </c>
      <c r="B832" t="s">
        <v>167</v>
      </c>
      <c r="C832" t="s">
        <v>88</v>
      </c>
      <c r="D832" t="s">
        <v>24</v>
      </c>
      <c r="E832" s="2">
        <v>16.940000000000001</v>
      </c>
      <c r="F832" s="2">
        <v>23.39</v>
      </c>
      <c r="G832" s="3">
        <v>78</v>
      </c>
      <c r="H832" s="3">
        <v>71</v>
      </c>
      <c r="I832" s="3">
        <v>7</v>
      </c>
      <c r="J832" s="3">
        <v>14</v>
      </c>
      <c r="K832" t="s">
        <v>15</v>
      </c>
      <c r="L832" s="2">
        <f t="shared" si="36"/>
        <v>6.4499999999999993</v>
      </c>
      <c r="M832" s="2">
        <f t="shared" si="37"/>
        <v>1660.69</v>
      </c>
      <c r="N832" s="2">
        <f t="shared" si="38"/>
        <v>457.94999999999993</v>
      </c>
    </row>
    <row r="833" spans="1:14">
      <c r="A833" t="s">
        <v>942</v>
      </c>
      <c r="B833" t="s">
        <v>169</v>
      </c>
      <c r="C833" t="s">
        <v>53</v>
      </c>
      <c r="D833" t="s">
        <v>19</v>
      </c>
      <c r="E833" s="2">
        <v>12.45</v>
      </c>
      <c r="F833" s="2">
        <v>17.59</v>
      </c>
      <c r="G833" s="3">
        <v>226</v>
      </c>
      <c r="H833" s="3">
        <v>67</v>
      </c>
      <c r="I833" s="3">
        <v>159</v>
      </c>
      <c r="J833" s="3">
        <v>37</v>
      </c>
      <c r="K833" t="s">
        <v>20</v>
      </c>
      <c r="L833" s="2">
        <f t="shared" si="36"/>
        <v>5.1400000000000006</v>
      </c>
      <c r="M833" s="2">
        <f t="shared" si="37"/>
        <v>1178.53</v>
      </c>
      <c r="N833" s="2">
        <f t="shared" si="38"/>
        <v>344.38000000000005</v>
      </c>
    </row>
    <row r="834" spans="1:14">
      <c r="A834" t="s">
        <v>943</v>
      </c>
      <c r="B834" t="s">
        <v>149</v>
      </c>
      <c r="C834" t="s">
        <v>47</v>
      </c>
      <c r="D834" t="s">
        <v>19</v>
      </c>
      <c r="E834" s="2">
        <v>2.75</v>
      </c>
      <c r="F834" s="2">
        <v>5.12</v>
      </c>
      <c r="G834" s="3">
        <v>196</v>
      </c>
      <c r="H834" s="3">
        <v>55</v>
      </c>
      <c r="I834" s="3">
        <v>141</v>
      </c>
      <c r="J834" s="3">
        <v>43</v>
      </c>
      <c r="K834" t="s">
        <v>20</v>
      </c>
      <c r="L834" s="2">
        <f t="shared" si="36"/>
        <v>2.37</v>
      </c>
      <c r="M834" s="2">
        <f t="shared" si="37"/>
        <v>281.60000000000002</v>
      </c>
      <c r="N834" s="2">
        <f t="shared" si="38"/>
        <v>130.35</v>
      </c>
    </row>
    <row r="835" spans="1:14">
      <c r="A835" t="s">
        <v>944</v>
      </c>
      <c r="B835" t="s">
        <v>114</v>
      </c>
      <c r="C835" t="s">
        <v>53</v>
      </c>
      <c r="D835" t="s">
        <v>24</v>
      </c>
      <c r="E835" s="2">
        <v>21.93</v>
      </c>
      <c r="F835" s="2">
        <v>30.94</v>
      </c>
      <c r="G835" s="3">
        <v>381</v>
      </c>
      <c r="H835" s="3">
        <v>143</v>
      </c>
      <c r="I835" s="3">
        <v>238</v>
      </c>
      <c r="J835" s="3">
        <v>82</v>
      </c>
      <c r="K835" t="s">
        <v>20</v>
      </c>
      <c r="L835" s="2">
        <f t="shared" ref="L835:L898" si="39">F835-E835</f>
        <v>9.0100000000000016</v>
      </c>
      <c r="M835" s="2">
        <f t="shared" ref="M835:M898" si="40">H835*F835</f>
        <v>4424.42</v>
      </c>
      <c r="N835" s="2">
        <f t="shared" ref="N835:N898" si="41">H835*L835</f>
        <v>1288.4300000000003</v>
      </c>
    </row>
    <row r="836" spans="1:14">
      <c r="A836" t="s">
        <v>945</v>
      </c>
      <c r="B836" t="s">
        <v>147</v>
      </c>
      <c r="C836" t="s">
        <v>33</v>
      </c>
      <c r="D836" t="s">
        <v>77</v>
      </c>
      <c r="E836" s="2">
        <v>5.53</v>
      </c>
      <c r="F836" s="2">
        <v>7.51</v>
      </c>
      <c r="G836" s="3">
        <v>289</v>
      </c>
      <c r="H836" s="3">
        <v>86</v>
      </c>
      <c r="I836" s="3">
        <v>203</v>
      </c>
      <c r="J836" s="3">
        <v>58</v>
      </c>
      <c r="K836" t="s">
        <v>20</v>
      </c>
      <c r="L836" s="2">
        <f t="shared" si="39"/>
        <v>1.9799999999999995</v>
      </c>
      <c r="M836" s="2">
        <f t="shared" si="40"/>
        <v>645.86</v>
      </c>
      <c r="N836" s="2">
        <f t="shared" si="41"/>
        <v>170.27999999999997</v>
      </c>
    </row>
    <row r="837" spans="1:14">
      <c r="A837" t="s">
        <v>946</v>
      </c>
      <c r="B837" t="s">
        <v>99</v>
      </c>
      <c r="C837" t="s">
        <v>33</v>
      </c>
      <c r="D837" t="s">
        <v>42</v>
      </c>
      <c r="E837" s="2">
        <v>6.23</v>
      </c>
      <c r="F837" s="2">
        <v>11.35</v>
      </c>
      <c r="G837" s="3">
        <v>126</v>
      </c>
      <c r="H837" s="3">
        <v>69</v>
      </c>
      <c r="I837" s="3">
        <v>57</v>
      </c>
      <c r="J837" s="3">
        <v>14</v>
      </c>
      <c r="K837" t="s">
        <v>20</v>
      </c>
      <c r="L837" s="2">
        <f t="shared" si="39"/>
        <v>5.1199999999999992</v>
      </c>
      <c r="M837" s="2">
        <f t="shared" si="40"/>
        <v>783.15</v>
      </c>
      <c r="N837" s="2">
        <f t="shared" si="41"/>
        <v>353.28</v>
      </c>
    </row>
    <row r="838" spans="1:14">
      <c r="A838" t="s">
        <v>947</v>
      </c>
      <c r="B838" t="s">
        <v>44</v>
      </c>
      <c r="C838" t="s">
        <v>13</v>
      </c>
      <c r="D838" t="s">
        <v>19</v>
      </c>
      <c r="E838" s="2">
        <v>28.02</v>
      </c>
      <c r="F838" s="2">
        <v>51.32</v>
      </c>
      <c r="G838" s="3">
        <v>478</v>
      </c>
      <c r="H838" s="3">
        <v>135</v>
      </c>
      <c r="I838" s="3">
        <v>343</v>
      </c>
      <c r="J838" s="3">
        <v>68</v>
      </c>
      <c r="K838" t="s">
        <v>20</v>
      </c>
      <c r="L838" s="2">
        <f t="shared" si="39"/>
        <v>23.3</v>
      </c>
      <c r="M838" s="2">
        <f t="shared" si="40"/>
        <v>6928.2</v>
      </c>
      <c r="N838" s="2">
        <f t="shared" si="41"/>
        <v>3145.5</v>
      </c>
    </row>
    <row r="839" spans="1:14">
      <c r="A839" t="s">
        <v>948</v>
      </c>
      <c r="B839" t="s">
        <v>64</v>
      </c>
      <c r="C839" t="s">
        <v>18</v>
      </c>
      <c r="D839" t="s">
        <v>100</v>
      </c>
      <c r="E839" s="2">
        <v>5.44</v>
      </c>
      <c r="F839" s="2">
        <v>8.2100000000000009</v>
      </c>
      <c r="G839" s="3">
        <v>108</v>
      </c>
      <c r="H839" s="3">
        <v>12</v>
      </c>
      <c r="I839" s="3">
        <v>96</v>
      </c>
      <c r="J839" s="3">
        <v>26</v>
      </c>
      <c r="K839" t="s">
        <v>20</v>
      </c>
      <c r="L839" s="2">
        <f t="shared" si="39"/>
        <v>2.7700000000000005</v>
      </c>
      <c r="M839" s="2">
        <f t="shared" si="40"/>
        <v>98.52000000000001</v>
      </c>
      <c r="N839" s="2">
        <f t="shared" si="41"/>
        <v>33.240000000000009</v>
      </c>
    </row>
    <row r="840" spans="1:14">
      <c r="A840" t="s">
        <v>949</v>
      </c>
      <c r="B840" t="s">
        <v>22</v>
      </c>
      <c r="C840" t="s">
        <v>23</v>
      </c>
      <c r="D840" t="s">
        <v>24</v>
      </c>
      <c r="E840" s="2">
        <v>16.899999999999999</v>
      </c>
      <c r="F840" s="2">
        <v>30.81</v>
      </c>
      <c r="G840" s="3">
        <v>22</v>
      </c>
      <c r="H840" s="3">
        <v>11</v>
      </c>
      <c r="I840" s="3">
        <v>11</v>
      </c>
      <c r="J840" s="3">
        <v>2</v>
      </c>
      <c r="K840" t="s">
        <v>20</v>
      </c>
      <c r="L840" s="2">
        <f t="shared" si="39"/>
        <v>13.91</v>
      </c>
      <c r="M840" s="2">
        <f t="shared" si="40"/>
        <v>338.90999999999997</v>
      </c>
      <c r="N840" s="2">
        <f t="shared" si="41"/>
        <v>153.01</v>
      </c>
    </row>
    <row r="841" spans="1:14">
      <c r="A841" t="s">
        <v>950</v>
      </c>
      <c r="B841" t="s">
        <v>52</v>
      </c>
      <c r="C841" t="s">
        <v>53</v>
      </c>
      <c r="D841" t="s">
        <v>54</v>
      </c>
      <c r="E841" s="2">
        <v>15.93</v>
      </c>
      <c r="F841" s="2">
        <v>30.56</v>
      </c>
      <c r="G841" s="3">
        <v>366</v>
      </c>
      <c r="H841" s="3">
        <v>37</v>
      </c>
      <c r="I841" s="3">
        <v>329</v>
      </c>
      <c r="J841" s="3">
        <v>47</v>
      </c>
      <c r="K841" t="s">
        <v>20</v>
      </c>
      <c r="L841" s="2">
        <f t="shared" si="39"/>
        <v>14.629999999999999</v>
      </c>
      <c r="M841" s="2">
        <f t="shared" si="40"/>
        <v>1130.72</v>
      </c>
      <c r="N841" s="2">
        <f t="shared" si="41"/>
        <v>541.30999999999995</v>
      </c>
    </row>
    <row r="842" spans="1:14">
      <c r="A842" t="s">
        <v>951</v>
      </c>
      <c r="B842" t="s">
        <v>99</v>
      </c>
      <c r="C842" t="s">
        <v>33</v>
      </c>
      <c r="D842" t="s">
        <v>39</v>
      </c>
      <c r="E842" s="2">
        <v>2.1800000000000002</v>
      </c>
      <c r="F842" s="2">
        <v>4.68</v>
      </c>
      <c r="G842" s="3">
        <v>229</v>
      </c>
      <c r="H842" s="3">
        <v>98</v>
      </c>
      <c r="I842" s="3">
        <v>131</v>
      </c>
      <c r="J842" s="3">
        <v>27</v>
      </c>
      <c r="K842" t="s">
        <v>20</v>
      </c>
      <c r="L842" s="2">
        <f t="shared" si="39"/>
        <v>2.4999999999999996</v>
      </c>
      <c r="M842" s="2">
        <f t="shared" si="40"/>
        <v>458.64</v>
      </c>
      <c r="N842" s="2">
        <f t="shared" si="41"/>
        <v>244.99999999999994</v>
      </c>
    </row>
    <row r="843" spans="1:14">
      <c r="A843" t="s">
        <v>952</v>
      </c>
      <c r="B843" t="s">
        <v>52</v>
      </c>
      <c r="C843" t="s">
        <v>53</v>
      </c>
      <c r="D843" t="s">
        <v>19</v>
      </c>
      <c r="E843" s="2">
        <v>12.67</v>
      </c>
      <c r="F843" s="2">
        <v>24.7</v>
      </c>
      <c r="G843" s="3">
        <v>363</v>
      </c>
      <c r="H843" s="3">
        <v>216</v>
      </c>
      <c r="I843" s="3">
        <v>147</v>
      </c>
      <c r="J843" s="3">
        <v>56</v>
      </c>
      <c r="K843" t="s">
        <v>20</v>
      </c>
      <c r="L843" s="2">
        <f t="shared" si="39"/>
        <v>12.03</v>
      </c>
      <c r="M843" s="2">
        <f t="shared" si="40"/>
        <v>5335.2</v>
      </c>
      <c r="N843" s="2">
        <f t="shared" si="41"/>
        <v>2598.48</v>
      </c>
    </row>
    <row r="844" spans="1:14">
      <c r="A844" t="s">
        <v>953</v>
      </c>
      <c r="B844" t="s">
        <v>64</v>
      </c>
      <c r="C844" t="s">
        <v>18</v>
      </c>
      <c r="D844" t="s">
        <v>14</v>
      </c>
      <c r="E844" s="2">
        <v>17.37</v>
      </c>
      <c r="F844" s="2">
        <v>28.83</v>
      </c>
      <c r="G844" s="3">
        <v>165</v>
      </c>
      <c r="H844" s="3">
        <v>151</v>
      </c>
      <c r="I844" s="3">
        <v>14</v>
      </c>
      <c r="J844" s="3">
        <v>23</v>
      </c>
      <c r="K844" t="s">
        <v>15</v>
      </c>
      <c r="L844" s="2">
        <f t="shared" si="39"/>
        <v>11.459999999999997</v>
      </c>
      <c r="M844" s="2">
        <f t="shared" si="40"/>
        <v>4353.33</v>
      </c>
      <c r="N844" s="2">
        <f t="shared" si="41"/>
        <v>1730.4599999999996</v>
      </c>
    </row>
    <row r="845" spans="1:14">
      <c r="A845" t="s">
        <v>954</v>
      </c>
      <c r="B845" t="s">
        <v>41</v>
      </c>
      <c r="C845" t="s">
        <v>23</v>
      </c>
      <c r="D845" t="s">
        <v>14</v>
      </c>
      <c r="E845" s="2">
        <v>16.68</v>
      </c>
      <c r="F845" s="2">
        <v>30.78</v>
      </c>
      <c r="G845" s="3">
        <v>454</v>
      </c>
      <c r="H845" s="3">
        <v>252</v>
      </c>
      <c r="I845" s="3">
        <v>202</v>
      </c>
      <c r="J845" s="3">
        <v>84</v>
      </c>
      <c r="K845" t="s">
        <v>20</v>
      </c>
      <c r="L845" s="2">
        <f t="shared" si="39"/>
        <v>14.100000000000001</v>
      </c>
      <c r="M845" s="2">
        <f t="shared" si="40"/>
        <v>7756.56</v>
      </c>
      <c r="N845" s="2">
        <f t="shared" si="41"/>
        <v>3553.2000000000003</v>
      </c>
    </row>
    <row r="846" spans="1:14">
      <c r="A846" t="s">
        <v>955</v>
      </c>
      <c r="B846" t="s">
        <v>179</v>
      </c>
      <c r="C846" t="s">
        <v>53</v>
      </c>
      <c r="D846" t="s">
        <v>28</v>
      </c>
      <c r="E846" s="2">
        <v>9.84</v>
      </c>
      <c r="F846" s="2">
        <v>20.27</v>
      </c>
      <c r="G846" s="3">
        <v>41</v>
      </c>
      <c r="H846" s="3">
        <v>35</v>
      </c>
      <c r="I846" s="3">
        <v>6</v>
      </c>
      <c r="J846" s="3">
        <v>5</v>
      </c>
      <c r="K846" t="s">
        <v>20</v>
      </c>
      <c r="L846" s="2">
        <f t="shared" si="39"/>
        <v>10.43</v>
      </c>
      <c r="M846" s="2">
        <f t="shared" si="40"/>
        <v>709.44999999999993</v>
      </c>
      <c r="N846" s="2">
        <f t="shared" si="41"/>
        <v>365.05</v>
      </c>
    </row>
    <row r="847" spans="1:14">
      <c r="A847" t="s">
        <v>956</v>
      </c>
      <c r="B847" t="s">
        <v>227</v>
      </c>
      <c r="C847" t="s">
        <v>27</v>
      </c>
      <c r="D847" t="s">
        <v>42</v>
      </c>
      <c r="E847" s="2">
        <v>6.32</v>
      </c>
      <c r="F847" s="2">
        <v>10.55</v>
      </c>
      <c r="G847" s="3">
        <v>478</v>
      </c>
      <c r="H847" s="3">
        <v>103</v>
      </c>
      <c r="I847" s="3">
        <v>375</v>
      </c>
      <c r="J847" s="3">
        <v>104</v>
      </c>
      <c r="K847" t="s">
        <v>20</v>
      </c>
      <c r="L847" s="2">
        <f t="shared" si="39"/>
        <v>4.2300000000000004</v>
      </c>
      <c r="M847" s="2">
        <f t="shared" si="40"/>
        <v>1086.6500000000001</v>
      </c>
      <c r="N847" s="2">
        <f t="shared" si="41"/>
        <v>435.69000000000005</v>
      </c>
    </row>
    <row r="848" spans="1:14">
      <c r="A848" t="s">
        <v>957</v>
      </c>
      <c r="B848" t="s">
        <v>41</v>
      </c>
      <c r="C848" t="s">
        <v>23</v>
      </c>
      <c r="D848" t="s">
        <v>14</v>
      </c>
      <c r="E848" s="2">
        <v>14.88</v>
      </c>
      <c r="F848" s="2">
        <v>27.54</v>
      </c>
      <c r="G848" s="3">
        <v>290</v>
      </c>
      <c r="H848" s="3">
        <v>102</v>
      </c>
      <c r="I848" s="3">
        <v>188</v>
      </c>
      <c r="J848" s="3">
        <v>70</v>
      </c>
      <c r="K848" t="s">
        <v>20</v>
      </c>
      <c r="L848" s="2">
        <f t="shared" si="39"/>
        <v>12.659999999999998</v>
      </c>
      <c r="M848" s="2">
        <f t="shared" si="40"/>
        <v>2809.08</v>
      </c>
      <c r="N848" s="2">
        <f t="shared" si="41"/>
        <v>1291.32</v>
      </c>
    </row>
    <row r="849" spans="1:14">
      <c r="A849" t="s">
        <v>958</v>
      </c>
      <c r="B849" t="s">
        <v>147</v>
      </c>
      <c r="C849" t="s">
        <v>33</v>
      </c>
      <c r="D849" t="s">
        <v>77</v>
      </c>
      <c r="E849" s="2">
        <v>1.8</v>
      </c>
      <c r="F849" s="2">
        <v>2.86</v>
      </c>
      <c r="G849" s="3">
        <v>267</v>
      </c>
      <c r="H849" s="3">
        <v>246</v>
      </c>
      <c r="I849" s="3">
        <v>21</v>
      </c>
      <c r="J849" s="3">
        <v>49</v>
      </c>
      <c r="K849" t="s">
        <v>15</v>
      </c>
      <c r="L849" s="2">
        <f t="shared" si="39"/>
        <v>1.0599999999999998</v>
      </c>
      <c r="M849" s="2">
        <f t="shared" si="40"/>
        <v>703.56</v>
      </c>
      <c r="N849" s="2">
        <f t="shared" si="41"/>
        <v>260.75999999999993</v>
      </c>
    </row>
    <row r="850" spans="1:14">
      <c r="A850" t="s">
        <v>959</v>
      </c>
      <c r="B850" t="s">
        <v>169</v>
      </c>
      <c r="C850" t="s">
        <v>53</v>
      </c>
      <c r="D850" t="s">
        <v>77</v>
      </c>
      <c r="E850" s="2">
        <v>13.68</v>
      </c>
      <c r="F850" s="2">
        <v>27.78</v>
      </c>
      <c r="G850" s="3">
        <v>151</v>
      </c>
      <c r="H850" s="3">
        <v>69</v>
      </c>
      <c r="I850" s="3">
        <v>82</v>
      </c>
      <c r="J850" s="3">
        <v>18</v>
      </c>
      <c r="K850" t="s">
        <v>20</v>
      </c>
      <c r="L850" s="2">
        <f t="shared" si="39"/>
        <v>14.100000000000001</v>
      </c>
      <c r="M850" s="2">
        <f t="shared" si="40"/>
        <v>1916.8200000000002</v>
      </c>
      <c r="N850" s="2">
        <f t="shared" si="41"/>
        <v>972.90000000000009</v>
      </c>
    </row>
    <row r="851" spans="1:14">
      <c r="A851" t="s">
        <v>960</v>
      </c>
      <c r="B851" t="s">
        <v>164</v>
      </c>
      <c r="C851" t="s">
        <v>18</v>
      </c>
      <c r="D851" t="s">
        <v>28</v>
      </c>
      <c r="E851" s="2">
        <v>11.84</v>
      </c>
      <c r="F851" s="2">
        <v>25.48</v>
      </c>
      <c r="G851" s="3">
        <v>154</v>
      </c>
      <c r="H851" s="3">
        <v>112</v>
      </c>
      <c r="I851" s="3">
        <v>42</v>
      </c>
      <c r="J851" s="3">
        <v>27</v>
      </c>
      <c r="K851" t="s">
        <v>20</v>
      </c>
      <c r="L851" s="2">
        <f t="shared" si="39"/>
        <v>13.64</v>
      </c>
      <c r="M851" s="2">
        <f t="shared" si="40"/>
        <v>2853.76</v>
      </c>
      <c r="N851" s="2">
        <f t="shared" si="41"/>
        <v>1527.68</v>
      </c>
    </row>
    <row r="852" spans="1:14">
      <c r="A852" t="s">
        <v>961</v>
      </c>
      <c r="B852" t="s">
        <v>97</v>
      </c>
      <c r="C852" t="s">
        <v>53</v>
      </c>
      <c r="D852" t="s">
        <v>39</v>
      </c>
      <c r="E852" s="2">
        <v>4.71</v>
      </c>
      <c r="F852" s="2">
        <v>8.82</v>
      </c>
      <c r="G852" s="3">
        <v>101</v>
      </c>
      <c r="H852" s="3">
        <v>62</v>
      </c>
      <c r="I852" s="3">
        <v>39</v>
      </c>
      <c r="J852" s="3">
        <v>12</v>
      </c>
      <c r="K852" t="s">
        <v>20</v>
      </c>
      <c r="L852" s="2">
        <f t="shared" si="39"/>
        <v>4.1100000000000003</v>
      </c>
      <c r="M852" s="2">
        <f t="shared" si="40"/>
        <v>546.84</v>
      </c>
      <c r="N852" s="2">
        <f t="shared" si="41"/>
        <v>254.82000000000002</v>
      </c>
    </row>
    <row r="853" spans="1:14">
      <c r="A853" t="s">
        <v>962</v>
      </c>
      <c r="B853" t="s">
        <v>164</v>
      </c>
      <c r="C853" t="s">
        <v>18</v>
      </c>
      <c r="D853" t="s">
        <v>28</v>
      </c>
      <c r="E853" s="2">
        <v>11.94</v>
      </c>
      <c r="F853" s="2">
        <v>22.42</v>
      </c>
      <c r="G853" s="3">
        <v>48</v>
      </c>
      <c r="H853" s="3">
        <v>8</v>
      </c>
      <c r="I853" s="3">
        <v>40</v>
      </c>
      <c r="J853" s="3">
        <v>11</v>
      </c>
      <c r="K853" t="s">
        <v>20</v>
      </c>
      <c r="L853" s="2">
        <f t="shared" si="39"/>
        <v>10.480000000000002</v>
      </c>
      <c r="M853" s="2">
        <f t="shared" si="40"/>
        <v>179.36</v>
      </c>
      <c r="N853" s="2">
        <f t="shared" si="41"/>
        <v>83.840000000000018</v>
      </c>
    </row>
    <row r="854" spans="1:14">
      <c r="A854" t="s">
        <v>963</v>
      </c>
      <c r="B854" t="s">
        <v>50</v>
      </c>
      <c r="C854" t="s">
        <v>33</v>
      </c>
      <c r="D854" t="s">
        <v>14</v>
      </c>
      <c r="E854" s="2">
        <v>3.85</v>
      </c>
      <c r="F854" s="2">
        <v>7.34</v>
      </c>
      <c r="G854" s="3">
        <v>445</v>
      </c>
      <c r="H854" s="3">
        <v>54</v>
      </c>
      <c r="I854" s="3">
        <v>391</v>
      </c>
      <c r="J854" s="3">
        <v>92</v>
      </c>
      <c r="K854" t="s">
        <v>20</v>
      </c>
      <c r="L854" s="2">
        <f t="shared" si="39"/>
        <v>3.4899999999999998</v>
      </c>
      <c r="M854" s="2">
        <f t="shared" si="40"/>
        <v>396.36</v>
      </c>
      <c r="N854" s="2">
        <f t="shared" si="41"/>
        <v>188.45999999999998</v>
      </c>
    </row>
    <row r="855" spans="1:14">
      <c r="A855" t="s">
        <v>964</v>
      </c>
      <c r="B855" t="s">
        <v>251</v>
      </c>
      <c r="C855" t="s">
        <v>13</v>
      </c>
      <c r="D855" t="s">
        <v>19</v>
      </c>
      <c r="E855" s="2">
        <v>7.07</v>
      </c>
      <c r="F855" s="2">
        <v>14.34</v>
      </c>
      <c r="G855" s="3">
        <v>418</v>
      </c>
      <c r="H855" s="3">
        <v>188</v>
      </c>
      <c r="I855" s="3">
        <v>230</v>
      </c>
      <c r="J855" s="3">
        <v>57</v>
      </c>
      <c r="K855" t="s">
        <v>20</v>
      </c>
      <c r="L855" s="2">
        <f t="shared" si="39"/>
        <v>7.27</v>
      </c>
      <c r="M855" s="2">
        <f t="shared" si="40"/>
        <v>2695.92</v>
      </c>
      <c r="N855" s="2">
        <f t="shared" si="41"/>
        <v>1366.76</v>
      </c>
    </row>
    <row r="856" spans="1:14">
      <c r="A856" t="s">
        <v>965</v>
      </c>
      <c r="B856" t="s">
        <v>52</v>
      </c>
      <c r="C856" t="s">
        <v>53</v>
      </c>
      <c r="D856" t="s">
        <v>14</v>
      </c>
      <c r="E856" s="2">
        <v>5.43</v>
      </c>
      <c r="F856" s="2">
        <v>8.1300000000000008</v>
      </c>
      <c r="G856" s="3">
        <v>387</v>
      </c>
      <c r="H856" s="3">
        <v>196</v>
      </c>
      <c r="I856" s="3">
        <v>191</v>
      </c>
      <c r="J856" s="3">
        <v>78</v>
      </c>
      <c r="K856" t="s">
        <v>20</v>
      </c>
      <c r="L856" s="2">
        <f t="shared" si="39"/>
        <v>2.7000000000000011</v>
      </c>
      <c r="M856" s="2">
        <f t="shared" si="40"/>
        <v>1593.4800000000002</v>
      </c>
      <c r="N856" s="2">
        <f t="shared" si="41"/>
        <v>529.20000000000016</v>
      </c>
    </row>
    <row r="857" spans="1:14">
      <c r="A857" t="s">
        <v>966</v>
      </c>
      <c r="B857" t="s">
        <v>17</v>
      </c>
      <c r="C857" t="s">
        <v>18</v>
      </c>
      <c r="D857" t="s">
        <v>39</v>
      </c>
      <c r="E857" s="2">
        <v>5.49</v>
      </c>
      <c r="F857" s="2">
        <v>8.19</v>
      </c>
      <c r="G857" s="3">
        <v>408</v>
      </c>
      <c r="H857" s="3">
        <v>265</v>
      </c>
      <c r="I857" s="3">
        <v>143</v>
      </c>
      <c r="J857" s="3">
        <v>86</v>
      </c>
      <c r="K857" t="s">
        <v>20</v>
      </c>
      <c r="L857" s="2">
        <f t="shared" si="39"/>
        <v>2.6999999999999993</v>
      </c>
      <c r="M857" s="2">
        <f t="shared" si="40"/>
        <v>2170.35</v>
      </c>
      <c r="N857" s="2">
        <f t="shared" si="41"/>
        <v>715.49999999999977</v>
      </c>
    </row>
    <row r="858" spans="1:14">
      <c r="A858" t="s">
        <v>967</v>
      </c>
      <c r="B858" t="s">
        <v>220</v>
      </c>
      <c r="C858" t="s">
        <v>23</v>
      </c>
      <c r="D858" t="s">
        <v>54</v>
      </c>
      <c r="E858" s="2">
        <v>11.81</v>
      </c>
      <c r="F858" s="2">
        <v>21.63</v>
      </c>
      <c r="G858" s="3">
        <v>457</v>
      </c>
      <c r="H858" s="3">
        <v>144</v>
      </c>
      <c r="I858" s="3">
        <v>313</v>
      </c>
      <c r="J858" s="3">
        <v>71</v>
      </c>
      <c r="K858" t="s">
        <v>20</v>
      </c>
      <c r="L858" s="2">
        <f t="shared" si="39"/>
        <v>9.8199999999999985</v>
      </c>
      <c r="M858" s="2">
        <f t="shared" si="40"/>
        <v>3114.72</v>
      </c>
      <c r="N858" s="2">
        <f t="shared" si="41"/>
        <v>1414.0799999999997</v>
      </c>
    </row>
    <row r="859" spans="1:14">
      <c r="A859" t="s">
        <v>968</v>
      </c>
      <c r="B859" t="s">
        <v>248</v>
      </c>
      <c r="C859" t="s">
        <v>27</v>
      </c>
      <c r="D859" t="s">
        <v>14</v>
      </c>
      <c r="E859" s="2">
        <v>23</v>
      </c>
      <c r="F859" s="2">
        <v>36.14</v>
      </c>
      <c r="G859" s="3">
        <v>265</v>
      </c>
      <c r="H859" s="3">
        <v>53</v>
      </c>
      <c r="I859" s="3">
        <v>212</v>
      </c>
      <c r="J859" s="3">
        <v>26</v>
      </c>
      <c r="K859" t="s">
        <v>20</v>
      </c>
      <c r="L859" s="2">
        <f t="shared" si="39"/>
        <v>13.14</v>
      </c>
      <c r="M859" s="2">
        <f t="shared" si="40"/>
        <v>1915.42</v>
      </c>
      <c r="N859" s="2">
        <f t="shared" si="41"/>
        <v>696.42000000000007</v>
      </c>
    </row>
    <row r="860" spans="1:14">
      <c r="A860" t="s">
        <v>969</v>
      </c>
      <c r="B860" t="s">
        <v>272</v>
      </c>
      <c r="C860" t="s">
        <v>47</v>
      </c>
      <c r="D860" t="s">
        <v>42</v>
      </c>
      <c r="E860" s="2">
        <v>2.52</v>
      </c>
      <c r="F860" s="2">
        <v>4.26</v>
      </c>
      <c r="G860" s="3">
        <v>145</v>
      </c>
      <c r="H860" s="3">
        <v>127</v>
      </c>
      <c r="I860" s="3">
        <v>18</v>
      </c>
      <c r="J860" s="3">
        <v>20</v>
      </c>
      <c r="K860" t="s">
        <v>15</v>
      </c>
      <c r="L860" s="2">
        <f t="shared" si="39"/>
        <v>1.7399999999999998</v>
      </c>
      <c r="M860" s="2">
        <f t="shared" si="40"/>
        <v>541.02</v>
      </c>
      <c r="N860" s="2">
        <f t="shared" si="41"/>
        <v>220.97999999999996</v>
      </c>
    </row>
    <row r="861" spans="1:14">
      <c r="A861" t="s">
        <v>970</v>
      </c>
      <c r="B861" t="s">
        <v>94</v>
      </c>
      <c r="C861" t="s">
        <v>33</v>
      </c>
      <c r="D861" t="s">
        <v>42</v>
      </c>
      <c r="E861" s="2">
        <v>3.94</v>
      </c>
      <c r="F861" s="2">
        <v>6.91</v>
      </c>
      <c r="G861" s="3">
        <v>407</v>
      </c>
      <c r="H861" s="3">
        <v>156</v>
      </c>
      <c r="I861" s="3">
        <v>251</v>
      </c>
      <c r="J861" s="3">
        <v>71</v>
      </c>
      <c r="K861" t="s">
        <v>20</v>
      </c>
      <c r="L861" s="2">
        <f t="shared" si="39"/>
        <v>2.97</v>
      </c>
      <c r="M861" s="2">
        <f t="shared" si="40"/>
        <v>1077.96</v>
      </c>
      <c r="N861" s="2">
        <f t="shared" si="41"/>
        <v>463.32000000000005</v>
      </c>
    </row>
    <row r="862" spans="1:14">
      <c r="A862" t="s">
        <v>971</v>
      </c>
      <c r="B862" t="s">
        <v>149</v>
      </c>
      <c r="C862" t="s">
        <v>47</v>
      </c>
      <c r="D862" t="s">
        <v>24</v>
      </c>
      <c r="E862" s="2">
        <v>14.24</v>
      </c>
      <c r="F862" s="2">
        <v>19.170000000000002</v>
      </c>
      <c r="G862" s="3">
        <v>327</v>
      </c>
      <c r="H862" s="3">
        <v>63</v>
      </c>
      <c r="I862" s="3">
        <v>264</v>
      </c>
      <c r="J862" s="3">
        <v>58</v>
      </c>
      <c r="K862" t="s">
        <v>20</v>
      </c>
      <c r="L862" s="2">
        <f t="shared" si="39"/>
        <v>4.9300000000000015</v>
      </c>
      <c r="M862" s="2">
        <f t="shared" si="40"/>
        <v>1207.71</v>
      </c>
      <c r="N862" s="2">
        <f t="shared" si="41"/>
        <v>310.59000000000009</v>
      </c>
    </row>
    <row r="863" spans="1:14">
      <c r="A863" t="s">
        <v>972</v>
      </c>
      <c r="B863" t="s">
        <v>299</v>
      </c>
      <c r="C863" t="s">
        <v>13</v>
      </c>
      <c r="D863" t="s">
        <v>100</v>
      </c>
      <c r="E863" s="2">
        <v>24.42</v>
      </c>
      <c r="F863" s="2">
        <v>44.04</v>
      </c>
      <c r="G863" s="3">
        <v>497</v>
      </c>
      <c r="H863" s="3">
        <v>384</v>
      </c>
      <c r="I863" s="3">
        <v>113</v>
      </c>
      <c r="J863" s="3">
        <v>66</v>
      </c>
      <c r="K863" t="s">
        <v>20</v>
      </c>
      <c r="L863" s="2">
        <f t="shared" si="39"/>
        <v>19.619999999999997</v>
      </c>
      <c r="M863" s="2">
        <f t="shared" si="40"/>
        <v>16911.36</v>
      </c>
      <c r="N863" s="2">
        <f t="shared" si="41"/>
        <v>7534.079999999999</v>
      </c>
    </row>
    <row r="864" spans="1:14">
      <c r="A864" t="s">
        <v>973</v>
      </c>
      <c r="B864" t="s">
        <v>22</v>
      </c>
      <c r="C864" t="s">
        <v>23</v>
      </c>
      <c r="D864" t="s">
        <v>14</v>
      </c>
      <c r="E864" s="2">
        <v>11.43</v>
      </c>
      <c r="F864" s="2">
        <v>21.94</v>
      </c>
      <c r="G864" s="3">
        <v>418</v>
      </c>
      <c r="H864" s="3">
        <v>181</v>
      </c>
      <c r="I864" s="3">
        <v>237</v>
      </c>
      <c r="J864" s="3">
        <v>75</v>
      </c>
      <c r="K864" t="s">
        <v>20</v>
      </c>
      <c r="L864" s="2">
        <f t="shared" si="39"/>
        <v>10.510000000000002</v>
      </c>
      <c r="M864" s="2">
        <f t="shared" si="40"/>
        <v>3971.1400000000003</v>
      </c>
      <c r="N864" s="2">
        <f t="shared" si="41"/>
        <v>1902.3100000000002</v>
      </c>
    </row>
    <row r="865" spans="1:14">
      <c r="A865" t="s">
        <v>974</v>
      </c>
      <c r="B865" t="s">
        <v>259</v>
      </c>
      <c r="C865" t="s">
        <v>53</v>
      </c>
      <c r="D865" t="s">
        <v>28</v>
      </c>
      <c r="E865" s="2">
        <v>4.74</v>
      </c>
      <c r="F865" s="2">
        <v>9.6300000000000008</v>
      </c>
      <c r="G865" s="3">
        <v>431</v>
      </c>
      <c r="H865" s="3">
        <v>337</v>
      </c>
      <c r="I865" s="3">
        <v>94</v>
      </c>
      <c r="J865" s="3">
        <v>50</v>
      </c>
      <c r="K865" t="s">
        <v>20</v>
      </c>
      <c r="L865" s="2">
        <f t="shared" si="39"/>
        <v>4.8900000000000006</v>
      </c>
      <c r="M865" s="2">
        <f t="shared" si="40"/>
        <v>3245.3100000000004</v>
      </c>
      <c r="N865" s="2">
        <f t="shared" si="41"/>
        <v>1647.9300000000003</v>
      </c>
    </row>
    <row r="866" spans="1:14">
      <c r="A866" t="s">
        <v>975</v>
      </c>
      <c r="B866" t="s">
        <v>56</v>
      </c>
      <c r="C866" t="s">
        <v>23</v>
      </c>
      <c r="D866" t="s">
        <v>28</v>
      </c>
      <c r="E866" s="2">
        <v>11.86</v>
      </c>
      <c r="F866" s="2">
        <v>24.73</v>
      </c>
      <c r="G866" s="3">
        <v>323</v>
      </c>
      <c r="H866" s="3">
        <v>43</v>
      </c>
      <c r="I866" s="3">
        <v>280</v>
      </c>
      <c r="J866" s="3">
        <v>55</v>
      </c>
      <c r="K866" t="s">
        <v>20</v>
      </c>
      <c r="L866" s="2">
        <f t="shared" si="39"/>
        <v>12.870000000000001</v>
      </c>
      <c r="M866" s="2">
        <f t="shared" si="40"/>
        <v>1063.3900000000001</v>
      </c>
      <c r="N866" s="2">
        <f t="shared" si="41"/>
        <v>553.41000000000008</v>
      </c>
    </row>
    <row r="867" spans="1:14">
      <c r="A867" t="s">
        <v>976</v>
      </c>
      <c r="B867" t="s">
        <v>229</v>
      </c>
      <c r="C867" t="s">
        <v>88</v>
      </c>
      <c r="D867" t="s">
        <v>77</v>
      </c>
      <c r="E867" s="2">
        <v>4.47</v>
      </c>
      <c r="F867" s="2">
        <v>7.99</v>
      </c>
      <c r="G867" s="3">
        <v>366</v>
      </c>
      <c r="H867" s="3">
        <v>130</v>
      </c>
      <c r="I867" s="3">
        <v>236</v>
      </c>
      <c r="J867" s="3">
        <v>77</v>
      </c>
      <c r="K867" t="s">
        <v>20</v>
      </c>
      <c r="L867" s="2">
        <f t="shared" si="39"/>
        <v>3.5200000000000005</v>
      </c>
      <c r="M867" s="2">
        <f t="shared" si="40"/>
        <v>1038.7</v>
      </c>
      <c r="N867" s="2">
        <f t="shared" si="41"/>
        <v>457.60000000000008</v>
      </c>
    </row>
    <row r="868" spans="1:14">
      <c r="A868" t="s">
        <v>977</v>
      </c>
      <c r="B868" t="s">
        <v>85</v>
      </c>
      <c r="C868" t="s">
        <v>27</v>
      </c>
      <c r="D868" t="s">
        <v>42</v>
      </c>
      <c r="E868" s="2">
        <v>18.2</v>
      </c>
      <c r="F868" s="2">
        <v>35.28</v>
      </c>
      <c r="G868" s="3">
        <v>460</v>
      </c>
      <c r="H868" s="3">
        <v>376</v>
      </c>
      <c r="I868" s="3">
        <v>84</v>
      </c>
      <c r="J868" s="3">
        <v>111</v>
      </c>
      <c r="K868" t="s">
        <v>15</v>
      </c>
      <c r="L868" s="2">
        <f t="shared" si="39"/>
        <v>17.080000000000002</v>
      </c>
      <c r="M868" s="2">
        <f t="shared" si="40"/>
        <v>13265.28</v>
      </c>
      <c r="N868" s="2">
        <f t="shared" si="41"/>
        <v>6422.0800000000008</v>
      </c>
    </row>
    <row r="869" spans="1:14">
      <c r="A869" t="s">
        <v>978</v>
      </c>
      <c r="B869" t="s">
        <v>172</v>
      </c>
      <c r="C869" t="s">
        <v>18</v>
      </c>
      <c r="D869" t="s">
        <v>14</v>
      </c>
      <c r="E869" s="2">
        <v>1.03</v>
      </c>
      <c r="F869" s="2">
        <v>1.58</v>
      </c>
      <c r="G869" s="3">
        <v>273</v>
      </c>
      <c r="H869" s="3">
        <v>179</v>
      </c>
      <c r="I869" s="3">
        <v>94</v>
      </c>
      <c r="J869" s="3">
        <v>61</v>
      </c>
      <c r="K869" t="s">
        <v>20</v>
      </c>
      <c r="L869" s="2">
        <f t="shared" si="39"/>
        <v>0.55000000000000004</v>
      </c>
      <c r="M869" s="2">
        <f t="shared" si="40"/>
        <v>282.82</v>
      </c>
      <c r="N869" s="2">
        <f t="shared" si="41"/>
        <v>98.45</v>
      </c>
    </row>
    <row r="870" spans="1:14">
      <c r="A870" t="s">
        <v>979</v>
      </c>
      <c r="B870" t="s">
        <v>41</v>
      </c>
      <c r="C870" t="s">
        <v>23</v>
      </c>
      <c r="D870" t="s">
        <v>14</v>
      </c>
      <c r="E870" s="2">
        <v>8.41</v>
      </c>
      <c r="F870" s="2">
        <v>12.45</v>
      </c>
      <c r="G870" s="3">
        <v>361</v>
      </c>
      <c r="H870" s="3">
        <v>327</v>
      </c>
      <c r="I870" s="3">
        <v>34</v>
      </c>
      <c r="J870" s="3">
        <v>58</v>
      </c>
      <c r="K870" t="s">
        <v>15</v>
      </c>
      <c r="L870" s="2">
        <f t="shared" si="39"/>
        <v>4.0399999999999991</v>
      </c>
      <c r="M870" s="2">
        <f t="shared" si="40"/>
        <v>4071.1499999999996</v>
      </c>
      <c r="N870" s="2">
        <f t="shared" si="41"/>
        <v>1321.0799999999997</v>
      </c>
    </row>
    <row r="871" spans="1:14">
      <c r="A871" t="s">
        <v>980</v>
      </c>
      <c r="B871" t="s">
        <v>50</v>
      </c>
      <c r="C871" t="s">
        <v>33</v>
      </c>
      <c r="D871" t="s">
        <v>48</v>
      </c>
      <c r="E871" s="2">
        <v>10.72</v>
      </c>
      <c r="F871" s="2">
        <v>14.34</v>
      </c>
      <c r="G871" s="3">
        <v>447</v>
      </c>
      <c r="H871" s="3">
        <v>227</v>
      </c>
      <c r="I871" s="3">
        <v>220</v>
      </c>
      <c r="J871" s="3">
        <v>98</v>
      </c>
      <c r="K871" t="s">
        <v>20</v>
      </c>
      <c r="L871" s="2">
        <f t="shared" si="39"/>
        <v>3.6199999999999992</v>
      </c>
      <c r="M871" s="2">
        <f t="shared" si="40"/>
        <v>3255.18</v>
      </c>
      <c r="N871" s="2">
        <f t="shared" si="41"/>
        <v>821.73999999999978</v>
      </c>
    </row>
    <row r="872" spans="1:14">
      <c r="A872" t="s">
        <v>981</v>
      </c>
      <c r="B872" t="s">
        <v>124</v>
      </c>
      <c r="C872" t="s">
        <v>88</v>
      </c>
      <c r="D872" t="s">
        <v>39</v>
      </c>
      <c r="E872" s="2">
        <v>30.85</v>
      </c>
      <c r="F872" s="2">
        <v>55.56</v>
      </c>
      <c r="G872" s="3">
        <v>130</v>
      </c>
      <c r="H872" s="3">
        <v>84</v>
      </c>
      <c r="I872" s="3">
        <v>46</v>
      </c>
      <c r="J872" s="3">
        <v>30</v>
      </c>
      <c r="K872" t="s">
        <v>20</v>
      </c>
      <c r="L872" s="2">
        <f t="shared" si="39"/>
        <v>24.71</v>
      </c>
      <c r="M872" s="2">
        <f t="shared" si="40"/>
        <v>4667.04</v>
      </c>
      <c r="N872" s="2">
        <f t="shared" si="41"/>
        <v>2075.64</v>
      </c>
    </row>
    <row r="873" spans="1:14">
      <c r="A873" t="s">
        <v>982</v>
      </c>
      <c r="B873" t="s">
        <v>216</v>
      </c>
      <c r="C873" t="s">
        <v>23</v>
      </c>
      <c r="D873" t="s">
        <v>39</v>
      </c>
      <c r="E873" s="2">
        <v>21.06</v>
      </c>
      <c r="F873" s="2">
        <v>42.71</v>
      </c>
      <c r="G873" s="3">
        <v>95</v>
      </c>
      <c r="H873" s="3">
        <v>45</v>
      </c>
      <c r="I873" s="3">
        <v>50</v>
      </c>
      <c r="J873" s="3">
        <v>14</v>
      </c>
      <c r="K873" t="s">
        <v>20</v>
      </c>
      <c r="L873" s="2">
        <f t="shared" si="39"/>
        <v>21.650000000000002</v>
      </c>
      <c r="M873" s="2">
        <f t="shared" si="40"/>
        <v>1921.95</v>
      </c>
      <c r="N873" s="2">
        <f t="shared" si="41"/>
        <v>974.25000000000011</v>
      </c>
    </row>
    <row r="874" spans="1:14">
      <c r="A874" t="s">
        <v>983</v>
      </c>
      <c r="B874" t="s">
        <v>216</v>
      </c>
      <c r="C874" t="s">
        <v>23</v>
      </c>
      <c r="D874" t="s">
        <v>48</v>
      </c>
      <c r="E874" s="2">
        <v>12.99</v>
      </c>
      <c r="F874" s="2">
        <v>22.83</v>
      </c>
      <c r="G874" s="3">
        <v>484</v>
      </c>
      <c r="H874" s="3">
        <v>130</v>
      </c>
      <c r="I874" s="3">
        <v>354</v>
      </c>
      <c r="J874" s="3">
        <v>78</v>
      </c>
      <c r="K874" t="s">
        <v>20</v>
      </c>
      <c r="L874" s="2">
        <f t="shared" si="39"/>
        <v>9.8399999999999981</v>
      </c>
      <c r="M874" s="2">
        <f t="shared" si="40"/>
        <v>2967.8999999999996</v>
      </c>
      <c r="N874" s="2">
        <f t="shared" si="41"/>
        <v>1279.1999999999998</v>
      </c>
    </row>
    <row r="875" spans="1:14">
      <c r="A875" t="s">
        <v>984</v>
      </c>
      <c r="B875" t="s">
        <v>190</v>
      </c>
      <c r="C875" t="s">
        <v>18</v>
      </c>
      <c r="D875" t="s">
        <v>48</v>
      </c>
      <c r="E875" s="2">
        <v>17.16</v>
      </c>
      <c r="F875" s="2">
        <v>32.72</v>
      </c>
      <c r="G875" s="3">
        <v>247</v>
      </c>
      <c r="H875" s="3">
        <v>47</v>
      </c>
      <c r="I875" s="3">
        <v>200</v>
      </c>
      <c r="J875" s="3">
        <v>25</v>
      </c>
      <c r="K875" t="s">
        <v>20</v>
      </c>
      <c r="L875" s="2">
        <f t="shared" si="39"/>
        <v>15.559999999999999</v>
      </c>
      <c r="M875" s="2">
        <f t="shared" si="40"/>
        <v>1537.84</v>
      </c>
      <c r="N875" s="2">
        <f t="shared" si="41"/>
        <v>731.31999999999994</v>
      </c>
    </row>
    <row r="876" spans="1:14">
      <c r="A876" t="s">
        <v>985</v>
      </c>
      <c r="B876" t="s">
        <v>102</v>
      </c>
      <c r="C876" t="s">
        <v>53</v>
      </c>
      <c r="D876" t="s">
        <v>77</v>
      </c>
      <c r="E876" s="2">
        <v>18.28</v>
      </c>
      <c r="F876" s="2">
        <v>33.93</v>
      </c>
      <c r="G876" s="3">
        <v>374</v>
      </c>
      <c r="H876" s="3">
        <v>240</v>
      </c>
      <c r="I876" s="3">
        <v>134</v>
      </c>
      <c r="J876" s="3">
        <v>73</v>
      </c>
      <c r="K876" t="s">
        <v>20</v>
      </c>
      <c r="L876" s="2">
        <f t="shared" si="39"/>
        <v>15.649999999999999</v>
      </c>
      <c r="M876" s="2">
        <f t="shared" si="40"/>
        <v>8143.2</v>
      </c>
      <c r="N876" s="2">
        <f t="shared" si="41"/>
        <v>3755.9999999999995</v>
      </c>
    </row>
    <row r="877" spans="1:14">
      <c r="A877" t="s">
        <v>986</v>
      </c>
      <c r="B877" t="s">
        <v>251</v>
      </c>
      <c r="C877" t="s">
        <v>13</v>
      </c>
      <c r="D877" t="s">
        <v>42</v>
      </c>
      <c r="E877" s="2">
        <v>10.5</v>
      </c>
      <c r="F877" s="2">
        <v>15.85</v>
      </c>
      <c r="G877" s="3">
        <v>426</v>
      </c>
      <c r="H877" s="3">
        <v>292</v>
      </c>
      <c r="I877" s="3">
        <v>134</v>
      </c>
      <c r="J877" s="3">
        <v>88</v>
      </c>
      <c r="K877" t="s">
        <v>20</v>
      </c>
      <c r="L877" s="2">
        <f t="shared" si="39"/>
        <v>5.35</v>
      </c>
      <c r="M877" s="2">
        <f t="shared" si="40"/>
        <v>4628.2</v>
      </c>
      <c r="N877" s="2">
        <f t="shared" si="41"/>
        <v>1562.1999999999998</v>
      </c>
    </row>
    <row r="878" spans="1:14">
      <c r="A878" t="s">
        <v>987</v>
      </c>
      <c r="B878" t="s">
        <v>190</v>
      </c>
      <c r="C878" t="s">
        <v>18</v>
      </c>
      <c r="D878" t="s">
        <v>24</v>
      </c>
      <c r="E878" s="2">
        <v>13.33</v>
      </c>
      <c r="F878" s="2">
        <v>24.48</v>
      </c>
      <c r="G878" s="3">
        <v>382</v>
      </c>
      <c r="H878" s="3">
        <v>231</v>
      </c>
      <c r="I878" s="3">
        <v>151</v>
      </c>
      <c r="J878" s="3">
        <v>63</v>
      </c>
      <c r="K878" t="s">
        <v>20</v>
      </c>
      <c r="L878" s="2">
        <f t="shared" si="39"/>
        <v>11.15</v>
      </c>
      <c r="M878" s="2">
        <f t="shared" si="40"/>
        <v>5654.88</v>
      </c>
      <c r="N878" s="2">
        <f t="shared" si="41"/>
        <v>2575.65</v>
      </c>
    </row>
    <row r="879" spans="1:14">
      <c r="A879" t="s">
        <v>988</v>
      </c>
      <c r="B879" t="s">
        <v>116</v>
      </c>
      <c r="C879" t="s">
        <v>23</v>
      </c>
      <c r="D879" t="s">
        <v>54</v>
      </c>
      <c r="E879" s="2">
        <v>13.4</v>
      </c>
      <c r="F879" s="2">
        <v>28.1</v>
      </c>
      <c r="G879" s="3">
        <v>118</v>
      </c>
      <c r="H879" s="3">
        <v>104</v>
      </c>
      <c r="I879" s="3">
        <v>14</v>
      </c>
      <c r="J879" s="3">
        <v>18</v>
      </c>
      <c r="K879" t="s">
        <v>15</v>
      </c>
      <c r="L879" s="2">
        <f t="shared" si="39"/>
        <v>14.700000000000001</v>
      </c>
      <c r="M879" s="2">
        <f t="shared" si="40"/>
        <v>2922.4</v>
      </c>
      <c r="N879" s="2">
        <f t="shared" si="41"/>
        <v>1528.8000000000002</v>
      </c>
    </row>
    <row r="880" spans="1:14">
      <c r="A880" t="s">
        <v>989</v>
      </c>
      <c r="B880" t="s">
        <v>246</v>
      </c>
      <c r="C880" t="s">
        <v>33</v>
      </c>
      <c r="D880" t="s">
        <v>42</v>
      </c>
      <c r="E880" s="2">
        <v>8.65</v>
      </c>
      <c r="F880" s="2">
        <v>15.99</v>
      </c>
      <c r="G880" s="3">
        <v>347</v>
      </c>
      <c r="H880" s="3">
        <v>64</v>
      </c>
      <c r="I880" s="3">
        <v>283</v>
      </c>
      <c r="J880" s="3">
        <v>54</v>
      </c>
      <c r="K880" t="s">
        <v>20</v>
      </c>
      <c r="L880" s="2">
        <f t="shared" si="39"/>
        <v>7.34</v>
      </c>
      <c r="M880" s="2">
        <f t="shared" si="40"/>
        <v>1023.36</v>
      </c>
      <c r="N880" s="2">
        <f t="shared" si="41"/>
        <v>469.76</v>
      </c>
    </row>
    <row r="881" spans="1:14">
      <c r="A881" t="s">
        <v>990</v>
      </c>
      <c r="B881" t="s">
        <v>104</v>
      </c>
      <c r="C881" t="s">
        <v>33</v>
      </c>
      <c r="D881" t="s">
        <v>19</v>
      </c>
      <c r="E881" s="2">
        <v>4.54</v>
      </c>
      <c r="F881" s="2">
        <v>6.49</v>
      </c>
      <c r="G881" s="3">
        <v>242</v>
      </c>
      <c r="H881" s="3">
        <v>197</v>
      </c>
      <c r="I881" s="3">
        <v>45</v>
      </c>
      <c r="J881" s="3">
        <v>37</v>
      </c>
      <c r="K881" t="s">
        <v>20</v>
      </c>
      <c r="L881" s="2">
        <f t="shared" si="39"/>
        <v>1.9500000000000002</v>
      </c>
      <c r="M881" s="2">
        <f t="shared" si="40"/>
        <v>1278.53</v>
      </c>
      <c r="N881" s="2">
        <f t="shared" si="41"/>
        <v>384.15000000000003</v>
      </c>
    </row>
    <row r="882" spans="1:14">
      <c r="A882" t="s">
        <v>991</v>
      </c>
      <c r="B882" t="s">
        <v>323</v>
      </c>
      <c r="C882" t="s">
        <v>27</v>
      </c>
      <c r="D882" t="s">
        <v>77</v>
      </c>
      <c r="E882" s="2">
        <v>2.5</v>
      </c>
      <c r="F882" s="2">
        <v>4.59</v>
      </c>
      <c r="G882" s="3">
        <v>355</v>
      </c>
      <c r="H882" s="3">
        <v>156</v>
      </c>
      <c r="I882" s="3">
        <v>199</v>
      </c>
      <c r="J882" s="3">
        <v>54</v>
      </c>
      <c r="K882" t="s">
        <v>20</v>
      </c>
      <c r="L882" s="2">
        <f t="shared" si="39"/>
        <v>2.09</v>
      </c>
      <c r="M882" s="2">
        <f t="shared" si="40"/>
        <v>716.04</v>
      </c>
      <c r="N882" s="2">
        <f t="shared" si="41"/>
        <v>326.03999999999996</v>
      </c>
    </row>
    <row r="883" spans="1:14">
      <c r="A883" t="s">
        <v>992</v>
      </c>
      <c r="B883" t="s">
        <v>44</v>
      </c>
      <c r="C883" t="s">
        <v>13</v>
      </c>
      <c r="D883" t="s">
        <v>14</v>
      </c>
      <c r="E883" s="2">
        <v>19.350000000000001</v>
      </c>
      <c r="F883" s="2">
        <v>41.71</v>
      </c>
      <c r="G883" s="3">
        <v>299</v>
      </c>
      <c r="H883" s="3">
        <v>185</v>
      </c>
      <c r="I883" s="3">
        <v>114</v>
      </c>
      <c r="J883" s="3">
        <v>41</v>
      </c>
      <c r="K883" t="s">
        <v>20</v>
      </c>
      <c r="L883" s="2">
        <f t="shared" si="39"/>
        <v>22.36</v>
      </c>
      <c r="M883" s="2">
        <f t="shared" si="40"/>
        <v>7716.35</v>
      </c>
      <c r="N883" s="2">
        <f t="shared" si="41"/>
        <v>4136.5999999999995</v>
      </c>
    </row>
    <row r="884" spans="1:14">
      <c r="A884" t="s">
        <v>993</v>
      </c>
      <c r="B884" t="s">
        <v>144</v>
      </c>
      <c r="C884" t="s">
        <v>88</v>
      </c>
      <c r="D884" t="s">
        <v>24</v>
      </c>
      <c r="E884" s="2">
        <v>33.92</v>
      </c>
      <c r="F884" s="2">
        <v>61.59</v>
      </c>
      <c r="G884" s="3">
        <v>291</v>
      </c>
      <c r="H884" s="3">
        <v>220</v>
      </c>
      <c r="I884" s="3">
        <v>71</v>
      </c>
      <c r="J884" s="3">
        <v>35</v>
      </c>
      <c r="K884" t="s">
        <v>20</v>
      </c>
      <c r="L884" s="2">
        <f t="shared" si="39"/>
        <v>27.67</v>
      </c>
      <c r="M884" s="2">
        <f t="shared" si="40"/>
        <v>13549.800000000001</v>
      </c>
      <c r="N884" s="2">
        <f t="shared" si="41"/>
        <v>6087.4000000000005</v>
      </c>
    </row>
    <row r="885" spans="1:14">
      <c r="A885" t="s">
        <v>994</v>
      </c>
      <c r="B885" t="s">
        <v>85</v>
      </c>
      <c r="C885" t="s">
        <v>27</v>
      </c>
      <c r="D885" t="s">
        <v>28</v>
      </c>
      <c r="E885" s="2">
        <v>23.79</v>
      </c>
      <c r="F885" s="2">
        <v>51.96</v>
      </c>
      <c r="G885" s="3">
        <v>326</v>
      </c>
      <c r="H885" s="3">
        <v>122</v>
      </c>
      <c r="I885" s="3">
        <v>204</v>
      </c>
      <c r="J885" s="3">
        <v>40</v>
      </c>
      <c r="K885" t="s">
        <v>20</v>
      </c>
      <c r="L885" s="2">
        <f t="shared" si="39"/>
        <v>28.17</v>
      </c>
      <c r="M885" s="2">
        <f t="shared" si="40"/>
        <v>6339.12</v>
      </c>
      <c r="N885" s="2">
        <f t="shared" si="41"/>
        <v>3436.7400000000002</v>
      </c>
    </row>
    <row r="886" spans="1:14">
      <c r="A886" t="s">
        <v>995</v>
      </c>
      <c r="B886" t="s">
        <v>151</v>
      </c>
      <c r="C886" t="s">
        <v>53</v>
      </c>
      <c r="D886" t="s">
        <v>42</v>
      </c>
      <c r="E886" s="2">
        <v>20.23</v>
      </c>
      <c r="F886" s="2">
        <v>43.8</v>
      </c>
      <c r="G886" s="3">
        <v>347</v>
      </c>
      <c r="H886" s="3">
        <v>134</v>
      </c>
      <c r="I886" s="3">
        <v>213</v>
      </c>
      <c r="J886" s="3">
        <v>82</v>
      </c>
      <c r="K886" t="s">
        <v>20</v>
      </c>
      <c r="L886" s="2">
        <f t="shared" si="39"/>
        <v>23.569999999999997</v>
      </c>
      <c r="M886" s="2">
        <f t="shared" si="40"/>
        <v>5869.2</v>
      </c>
      <c r="N886" s="2">
        <f t="shared" si="41"/>
        <v>3158.3799999999997</v>
      </c>
    </row>
    <row r="887" spans="1:14">
      <c r="A887" t="s">
        <v>996</v>
      </c>
      <c r="B887" t="s">
        <v>135</v>
      </c>
      <c r="C887" t="s">
        <v>18</v>
      </c>
      <c r="D887" t="s">
        <v>54</v>
      </c>
      <c r="E887" s="2">
        <v>1.71</v>
      </c>
      <c r="F887" s="2">
        <v>3.72</v>
      </c>
      <c r="G887" s="3">
        <v>440</v>
      </c>
      <c r="H887" s="3">
        <v>351</v>
      </c>
      <c r="I887" s="3">
        <v>89</v>
      </c>
      <c r="J887" s="3">
        <v>75</v>
      </c>
      <c r="K887" t="s">
        <v>20</v>
      </c>
      <c r="L887" s="2">
        <f t="shared" si="39"/>
        <v>2.0100000000000002</v>
      </c>
      <c r="M887" s="2">
        <f t="shared" si="40"/>
        <v>1305.72</v>
      </c>
      <c r="N887" s="2">
        <f t="shared" si="41"/>
        <v>705.5100000000001</v>
      </c>
    </row>
    <row r="888" spans="1:14">
      <c r="A888" t="s">
        <v>997</v>
      </c>
      <c r="B888" t="s">
        <v>66</v>
      </c>
      <c r="C888" t="s">
        <v>18</v>
      </c>
      <c r="D888" t="s">
        <v>19</v>
      </c>
      <c r="E888" s="2">
        <v>11.53</v>
      </c>
      <c r="F888" s="2">
        <v>24.14</v>
      </c>
      <c r="G888" s="3">
        <v>95</v>
      </c>
      <c r="H888" s="3">
        <v>78</v>
      </c>
      <c r="I888" s="3">
        <v>17</v>
      </c>
      <c r="J888" s="3">
        <v>22</v>
      </c>
      <c r="K888" t="s">
        <v>15</v>
      </c>
      <c r="L888" s="2">
        <f t="shared" si="39"/>
        <v>12.610000000000001</v>
      </c>
      <c r="M888" s="2">
        <f t="shared" si="40"/>
        <v>1882.92</v>
      </c>
      <c r="N888" s="2">
        <f t="shared" si="41"/>
        <v>983.58</v>
      </c>
    </row>
    <row r="889" spans="1:14">
      <c r="A889" t="s">
        <v>998</v>
      </c>
      <c r="B889" t="s">
        <v>323</v>
      </c>
      <c r="C889" t="s">
        <v>27</v>
      </c>
      <c r="D889" t="s">
        <v>14</v>
      </c>
      <c r="E889" s="2">
        <v>10.74</v>
      </c>
      <c r="F889" s="2">
        <v>14.08</v>
      </c>
      <c r="G889" s="3">
        <v>391</v>
      </c>
      <c r="H889" s="3">
        <v>206</v>
      </c>
      <c r="I889" s="3">
        <v>185</v>
      </c>
      <c r="J889" s="3">
        <v>58</v>
      </c>
      <c r="K889" t="s">
        <v>20</v>
      </c>
      <c r="L889" s="2">
        <f t="shared" si="39"/>
        <v>3.34</v>
      </c>
      <c r="M889" s="2">
        <f t="shared" si="40"/>
        <v>2900.48</v>
      </c>
      <c r="N889" s="2">
        <f t="shared" si="41"/>
        <v>688.04</v>
      </c>
    </row>
    <row r="890" spans="1:14">
      <c r="A890" t="s">
        <v>999</v>
      </c>
      <c r="B890" t="s">
        <v>94</v>
      </c>
      <c r="C890" t="s">
        <v>33</v>
      </c>
      <c r="D890" t="s">
        <v>39</v>
      </c>
      <c r="E890" s="2">
        <v>8.6999999999999993</v>
      </c>
      <c r="F890" s="2">
        <v>15.08</v>
      </c>
      <c r="G890" s="3">
        <v>433</v>
      </c>
      <c r="H890" s="3">
        <v>252</v>
      </c>
      <c r="I890" s="3">
        <v>181</v>
      </c>
      <c r="J890" s="3">
        <v>93</v>
      </c>
      <c r="K890" t="s">
        <v>20</v>
      </c>
      <c r="L890" s="2">
        <f t="shared" si="39"/>
        <v>6.3800000000000008</v>
      </c>
      <c r="M890" s="2">
        <f t="shared" si="40"/>
        <v>3800.16</v>
      </c>
      <c r="N890" s="2">
        <f t="shared" si="41"/>
        <v>1607.7600000000002</v>
      </c>
    </row>
    <row r="891" spans="1:14">
      <c r="A891" t="s">
        <v>1000</v>
      </c>
      <c r="B891" t="s">
        <v>216</v>
      </c>
      <c r="C891" t="s">
        <v>23</v>
      </c>
      <c r="D891" t="s">
        <v>54</v>
      </c>
      <c r="E891" s="2">
        <v>19.91</v>
      </c>
      <c r="F891" s="2">
        <v>41.61</v>
      </c>
      <c r="G891" s="3">
        <v>73</v>
      </c>
      <c r="H891" s="3">
        <v>16</v>
      </c>
      <c r="I891" s="3">
        <v>57</v>
      </c>
      <c r="J891" s="3">
        <v>9</v>
      </c>
      <c r="K891" t="s">
        <v>20</v>
      </c>
      <c r="L891" s="2">
        <f t="shared" si="39"/>
        <v>21.7</v>
      </c>
      <c r="M891" s="2">
        <f t="shared" si="40"/>
        <v>665.76</v>
      </c>
      <c r="N891" s="2">
        <f t="shared" si="41"/>
        <v>347.2</v>
      </c>
    </row>
    <row r="892" spans="1:14">
      <c r="A892" t="s">
        <v>1001</v>
      </c>
      <c r="B892" t="s">
        <v>79</v>
      </c>
      <c r="C892" t="s">
        <v>13</v>
      </c>
      <c r="D892" t="s">
        <v>48</v>
      </c>
      <c r="E892" s="2">
        <v>23.57</v>
      </c>
      <c r="F892" s="2">
        <v>35.64</v>
      </c>
      <c r="G892" s="3">
        <v>256</v>
      </c>
      <c r="H892" s="3">
        <v>240</v>
      </c>
      <c r="I892" s="3">
        <v>16</v>
      </c>
      <c r="J892" s="3">
        <v>42</v>
      </c>
      <c r="K892" t="s">
        <v>15</v>
      </c>
      <c r="L892" s="2">
        <f t="shared" si="39"/>
        <v>12.07</v>
      </c>
      <c r="M892" s="2">
        <f t="shared" si="40"/>
        <v>8553.6</v>
      </c>
      <c r="N892" s="2">
        <f t="shared" si="41"/>
        <v>2896.8</v>
      </c>
    </row>
    <row r="893" spans="1:14">
      <c r="A893" t="s">
        <v>1002</v>
      </c>
      <c r="B893" t="s">
        <v>251</v>
      </c>
      <c r="C893" t="s">
        <v>13</v>
      </c>
      <c r="D893" t="s">
        <v>24</v>
      </c>
      <c r="E893" s="2">
        <v>28.82</v>
      </c>
      <c r="F893" s="2">
        <v>45.98</v>
      </c>
      <c r="G893" s="3">
        <v>34</v>
      </c>
      <c r="H893" s="3">
        <v>23</v>
      </c>
      <c r="I893" s="3">
        <v>11</v>
      </c>
      <c r="J893" s="3">
        <v>5</v>
      </c>
      <c r="K893" t="s">
        <v>20</v>
      </c>
      <c r="L893" s="2">
        <f t="shared" si="39"/>
        <v>17.159999999999997</v>
      </c>
      <c r="M893" s="2">
        <f t="shared" si="40"/>
        <v>1057.54</v>
      </c>
      <c r="N893" s="2">
        <f t="shared" si="41"/>
        <v>394.67999999999995</v>
      </c>
    </row>
    <row r="894" spans="1:14">
      <c r="A894" t="s">
        <v>1003</v>
      </c>
      <c r="B894" t="s">
        <v>190</v>
      </c>
      <c r="C894" t="s">
        <v>18</v>
      </c>
      <c r="D894" t="s">
        <v>48</v>
      </c>
      <c r="E894" s="2">
        <v>15.03</v>
      </c>
      <c r="F894" s="2">
        <v>23.18</v>
      </c>
      <c r="G894" s="3">
        <v>331</v>
      </c>
      <c r="H894" s="3">
        <v>235</v>
      </c>
      <c r="I894" s="3">
        <v>96</v>
      </c>
      <c r="J894" s="3">
        <v>55</v>
      </c>
      <c r="K894" t="s">
        <v>20</v>
      </c>
      <c r="L894" s="2">
        <f t="shared" si="39"/>
        <v>8.15</v>
      </c>
      <c r="M894" s="2">
        <f t="shared" si="40"/>
        <v>5447.3</v>
      </c>
      <c r="N894" s="2">
        <f t="shared" si="41"/>
        <v>1915.25</v>
      </c>
    </row>
    <row r="895" spans="1:14">
      <c r="A895" t="s">
        <v>1004</v>
      </c>
      <c r="B895" t="s">
        <v>186</v>
      </c>
      <c r="C895" t="s">
        <v>13</v>
      </c>
      <c r="D895" t="s">
        <v>14</v>
      </c>
      <c r="E895" s="2">
        <v>2.88</v>
      </c>
      <c r="F895" s="2">
        <v>4.8499999999999996</v>
      </c>
      <c r="G895" s="3">
        <v>63</v>
      </c>
      <c r="H895" s="3">
        <v>13</v>
      </c>
      <c r="I895" s="3">
        <v>50</v>
      </c>
      <c r="J895" s="3">
        <v>6</v>
      </c>
      <c r="K895" t="s">
        <v>20</v>
      </c>
      <c r="L895" s="2">
        <f t="shared" si="39"/>
        <v>1.9699999999999998</v>
      </c>
      <c r="M895" s="2">
        <f t="shared" si="40"/>
        <v>63.05</v>
      </c>
      <c r="N895" s="2">
        <f t="shared" si="41"/>
        <v>25.609999999999996</v>
      </c>
    </row>
    <row r="896" spans="1:14">
      <c r="A896" t="s">
        <v>1005</v>
      </c>
      <c r="B896" t="s">
        <v>56</v>
      </c>
      <c r="C896" t="s">
        <v>23</v>
      </c>
      <c r="D896" t="s">
        <v>54</v>
      </c>
      <c r="E896" s="2">
        <v>8.35</v>
      </c>
      <c r="F896" s="2">
        <v>15.83</v>
      </c>
      <c r="G896" s="3">
        <v>440</v>
      </c>
      <c r="H896" s="3">
        <v>145</v>
      </c>
      <c r="I896" s="3">
        <v>295</v>
      </c>
      <c r="J896" s="3">
        <v>80</v>
      </c>
      <c r="K896" t="s">
        <v>20</v>
      </c>
      <c r="L896" s="2">
        <f t="shared" si="39"/>
        <v>7.48</v>
      </c>
      <c r="M896" s="2">
        <f t="shared" si="40"/>
        <v>2295.35</v>
      </c>
      <c r="N896" s="2">
        <f t="shared" si="41"/>
        <v>1084.6000000000001</v>
      </c>
    </row>
    <row r="897" spans="1:14">
      <c r="A897" t="s">
        <v>1006</v>
      </c>
      <c r="B897" t="s">
        <v>32</v>
      </c>
      <c r="C897" t="s">
        <v>33</v>
      </c>
      <c r="D897" t="s">
        <v>77</v>
      </c>
      <c r="E897" s="2">
        <v>2.77</v>
      </c>
      <c r="F897" s="2">
        <v>5.73</v>
      </c>
      <c r="G897" s="3">
        <v>183</v>
      </c>
      <c r="H897" s="3">
        <v>47</v>
      </c>
      <c r="I897" s="3">
        <v>136</v>
      </c>
      <c r="J897" s="3">
        <v>36</v>
      </c>
      <c r="K897" t="s">
        <v>20</v>
      </c>
      <c r="L897" s="2">
        <f t="shared" si="39"/>
        <v>2.9600000000000004</v>
      </c>
      <c r="M897" s="2">
        <f t="shared" si="40"/>
        <v>269.31</v>
      </c>
      <c r="N897" s="2">
        <f t="shared" si="41"/>
        <v>139.12000000000003</v>
      </c>
    </row>
    <row r="898" spans="1:14">
      <c r="A898" t="s">
        <v>1007</v>
      </c>
      <c r="B898" t="s">
        <v>167</v>
      </c>
      <c r="C898" t="s">
        <v>88</v>
      </c>
      <c r="D898" t="s">
        <v>77</v>
      </c>
      <c r="E898" s="2">
        <v>38.83</v>
      </c>
      <c r="F898" s="2">
        <v>77.260000000000005</v>
      </c>
      <c r="G898" s="3">
        <v>372</v>
      </c>
      <c r="H898" s="3">
        <v>311</v>
      </c>
      <c r="I898" s="3">
        <v>61</v>
      </c>
      <c r="J898" s="3">
        <v>57</v>
      </c>
      <c r="K898" t="s">
        <v>20</v>
      </c>
      <c r="L898" s="2">
        <f t="shared" si="39"/>
        <v>38.430000000000007</v>
      </c>
      <c r="M898" s="2">
        <f t="shared" si="40"/>
        <v>24027.86</v>
      </c>
      <c r="N898" s="2">
        <f t="shared" si="41"/>
        <v>11951.730000000001</v>
      </c>
    </row>
    <row r="899" spans="1:14">
      <c r="A899" t="s">
        <v>1008</v>
      </c>
      <c r="B899" t="s">
        <v>66</v>
      </c>
      <c r="C899" t="s">
        <v>18</v>
      </c>
      <c r="D899" t="s">
        <v>39</v>
      </c>
      <c r="E899" s="2">
        <v>2.2799999999999998</v>
      </c>
      <c r="F899" s="2">
        <v>3.39</v>
      </c>
      <c r="G899" s="3">
        <v>199</v>
      </c>
      <c r="H899" s="3">
        <v>66</v>
      </c>
      <c r="I899" s="3">
        <v>133</v>
      </c>
      <c r="J899" s="3">
        <v>45</v>
      </c>
      <c r="K899" t="s">
        <v>20</v>
      </c>
      <c r="L899" s="2">
        <f t="shared" ref="L899:L962" si="42">F899-E899</f>
        <v>1.1100000000000003</v>
      </c>
      <c r="M899" s="2">
        <f t="shared" ref="M899:M962" si="43">H899*F899</f>
        <v>223.74</v>
      </c>
      <c r="N899" s="2">
        <f t="shared" ref="N899:N962" si="44">H899*L899</f>
        <v>73.260000000000019</v>
      </c>
    </row>
    <row r="900" spans="1:14">
      <c r="A900" t="s">
        <v>1009</v>
      </c>
      <c r="B900" t="s">
        <v>167</v>
      </c>
      <c r="C900" t="s">
        <v>88</v>
      </c>
      <c r="D900" t="s">
        <v>14</v>
      </c>
      <c r="E900" s="2">
        <v>7.6</v>
      </c>
      <c r="F900" s="2">
        <v>13.42</v>
      </c>
      <c r="G900" s="3">
        <v>436</v>
      </c>
      <c r="H900" s="3">
        <v>138</v>
      </c>
      <c r="I900" s="3">
        <v>298</v>
      </c>
      <c r="J900" s="3">
        <v>97</v>
      </c>
      <c r="K900" t="s">
        <v>20</v>
      </c>
      <c r="L900" s="2">
        <f t="shared" si="42"/>
        <v>5.82</v>
      </c>
      <c r="M900" s="2">
        <f t="shared" si="43"/>
        <v>1851.96</v>
      </c>
      <c r="N900" s="2">
        <f t="shared" si="44"/>
        <v>803.16000000000008</v>
      </c>
    </row>
    <row r="901" spans="1:14">
      <c r="A901" t="s">
        <v>1010</v>
      </c>
      <c r="B901" t="s">
        <v>87</v>
      </c>
      <c r="C901" t="s">
        <v>88</v>
      </c>
      <c r="D901" t="s">
        <v>24</v>
      </c>
      <c r="E901" s="2">
        <v>49.88</v>
      </c>
      <c r="F901" s="2">
        <v>80.040000000000006</v>
      </c>
      <c r="G901" s="3">
        <v>210</v>
      </c>
      <c r="H901" s="3">
        <v>57</v>
      </c>
      <c r="I901" s="3">
        <v>153</v>
      </c>
      <c r="J901" s="3">
        <v>28</v>
      </c>
      <c r="K901" t="s">
        <v>20</v>
      </c>
      <c r="L901" s="2">
        <f t="shared" si="42"/>
        <v>30.160000000000004</v>
      </c>
      <c r="M901" s="2">
        <f t="shared" si="43"/>
        <v>4562.2800000000007</v>
      </c>
      <c r="N901" s="2">
        <f t="shared" si="44"/>
        <v>1719.1200000000001</v>
      </c>
    </row>
    <row r="902" spans="1:14">
      <c r="A902" t="s">
        <v>1011</v>
      </c>
      <c r="B902" t="s">
        <v>259</v>
      </c>
      <c r="C902" t="s">
        <v>53</v>
      </c>
      <c r="D902" t="s">
        <v>19</v>
      </c>
      <c r="E902" s="2">
        <v>14.82</v>
      </c>
      <c r="F902" s="2">
        <v>29.18</v>
      </c>
      <c r="G902" s="3">
        <v>50</v>
      </c>
      <c r="H902" s="3">
        <v>27</v>
      </c>
      <c r="I902" s="3">
        <v>23</v>
      </c>
      <c r="J902" s="3">
        <v>11</v>
      </c>
      <c r="K902" t="s">
        <v>20</v>
      </c>
      <c r="L902" s="2">
        <f t="shared" si="42"/>
        <v>14.36</v>
      </c>
      <c r="M902" s="2">
        <f t="shared" si="43"/>
        <v>787.86</v>
      </c>
      <c r="N902" s="2">
        <f t="shared" si="44"/>
        <v>387.71999999999997</v>
      </c>
    </row>
    <row r="903" spans="1:14">
      <c r="A903" t="s">
        <v>1012</v>
      </c>
      <c r="B903" t="s">
        <v>272</v>
      </c>
      <c r="C903" t="s">
        <v>47</v>
      </c>
      <c r="D903" t="s">
        <v>42</v>
      </c>
      <c r="E903" s="2">
        <v>5.38</v>
      </c>
      <c r="F903" s="2">
        <v>10.07</v>
      </c>
      <c r="G903" s="3">
        <v>159</v>
      </c>
      <c r="H903" s="3">
        <v>21</v>
      </c>
      <c r="I903" s="3">
        <v>138</v>
      </c>
      <c r="J903" s="3">
        <v>17</v>
      </c>
      <c r="K903" t="s">
        <v>20</v>
      </c>
      <c r="L903" s="2">
        <f t="shared" si="42"/>
        <v>4.6900000000000004</v>
      </c>
      <c r="M903" s="2">
        <f t="shared" si="43"/>
        <v>211.47</v>
      </c>
      <c r="N903" s="2">
        <f t="shared" si="44"/>
        <v>98.490000000000009</v>
      </c>
    </row>
    <row r="904" spans="1:14">
      <c r="A904" t="s">
        <v>1013</v>
      </c>
      <c r="B904" t="s">
        <v>41</v>
      </c>
      <c r="C904" t="s">
        <v>23</v>
      </c>
      <c r="D904" t="s">
        <v>42</v>
      </c>
      <c r="E904" s="2">
        <v>14.66</v>
      </c>
      <c r="F904" s="2">
        <v>25.45</v>
      </c>
      <c r="G904" s="3">
        <v>166</v>
      </c>
      <c r="H904" s="3">
        <v>150</v>
      </c>
      <c r="I904" s="3">
        <v>16</v>
      </c>
      <c r="J904" s="3">
        <v>35</v>
      </c>
      <c r="K904" t="s">
        <v>15</v>
      </c>
      <c r="L904" s="2">
        <f t="shared" si="42"/>
        <v>10.79</v>
      </c>
      <c r="M904" s="2">
        <f t="shared" si="43"/>
        <v>3817.5</v>
      </c>
      <c r="N904" s="2">
        <f t="shared" si="44"/>
        <v>1618.4999999999998</v>
      </c>
    </row>
    <row r="905" spans="1:14">
      <c r="A905" t="s">
        <v>1014</v>
      </c>
      <c r="B905" t="s">
        <v>124</v>
      </c>
      <c r="C905" t="s">
        <v>88</v>
      </c>
      <c r="D905" t="s">
        <v>42</v>
      </c>
      <c r="E905" s="2">
        <v>7.86</v>
      </c>
      <c r="F905" s="2">
        <v>12.78</v>
      </c>
      <c r="G905" s="3">
        <v>338</v>
      </c>
      <c r="H905" s="3">
        <v>296</v>
      </c>
      <c r="I905" s="3">
        <v>42</v>
      </c>
      <c r="J905" s="3">
        <v>34</v>
      </c>
      <c r="K905" t="s">
        <v>20</v>
      </c>
      <c r="L905" s="2">
        <f t="shared" si="42"/>
        <v>4.919999999999999</v>
      </c>
      <c r="M905" s="2">
        <f t="shared" si="43"/>
        <v>3782.8799999999997</v>
      </c>
      <c r="N905" s="2">
        <f t="shared" si="44"/>
        <v>1456.3199999999997</v>
      </c>
    </row>
    <row r="906" spans="1:14">
      <c r="A906" t="s">
        <v>1015</v>
      </c>
      <c r="B906" t="s">
        <v>169</v>
      </c>
      <c r="C906" t="s">
        <v>53</v>
      </c>
      <c r="D906" t="s">
        <v>28</v>
      </c>
      <c r="E906" s="2">
        <v>19.43</v>
      </c>
      <c r="F906" s="2">
        <v>30.49</v>
      </c>
      <c r="G906" s="3">
        <v>428</v>
      </c>
      <c r="H906" s="3">
        <v>302</v>
      </c>
      <c r="I906" s="3">
        <v>126</v>
      </c>
      <c r="J906" s="3">
        <v>46</v>
      </c>
      <c r="K906" t="s">
        <v>20</v>
      </c>
      <c r="L906" s="2">
        <f t="shared" si="42"/>
        <v>11.059999999999999</v>
      </c>
      <c r="M906" s="2">
        <f t="shared" si="43"/>
        <v>9207.98</v>
      </c>
      <c r="N906" s="2">
        <f t="shared" si="44"/>
        <v>3340.1199999999994</v>
      </c>
    </row>
    <row r="907" spans="1:14">
      <c r="A907" t="s">
        <v>1016</v>
      </c>
      <c r="B907" t="s">
        <v>74</v>
      </c>
      <c r="C907" t="s">
        <v>23</v>
      </c>
      <c r="D907" t="s">
        <v>42</v>
      </c>
      <c r="E907" s="2">
        <v>11.09</v>
      </c>
      <c r="F907" s="2">
        <v>23.91</v>
      </c>
      <c r="G907" s="3">
        <v>467</v>
      </c>
      <c r="H907" s="3">
        <v>376</v>
      </c>
      <c r="I907" s="3">
        <v>91</v>
      </c>
      <c r="J907" s="3">
        <v>76</v>
      </c>
      <c r="K907" t="s">
        <v>20</v>
      </c>
      <c r="L907" s="2">
        <f t="shared" si="42"/>
        <v>12.82</v>
      </c>
      <c r="M907" s="2">
        <f t="shared" si="43"/>
        <v>8990.16</v>
      </c>
      <c r="N907" s="2">
        <f t="shared" si="44"/>
        <v>4820.32</v>
      </c>
    </row>
    <row r="908" spans="1:14">
      <c r="A908" t="s">
        <v>1017</v>
      </c>
      <c r="B908" t="s">
        <v>141</v>
      </c>
      <c r="C908" t="s">
        <v>47</v>
      </c>
      <c r="D908" t="s">
        <v>100</v>
      </c>
      <c r="E908" s="2">
        <v>0.7</v>
      </c>
      <c r="F908" s="2">
        <v>1.27</v>
      </c>
      <c r="G908" s="3">
        <v>156</v>
      </c>
      <c r="H908" s="3">
        <v>123</v>
      </c>
      <c r="I908" s="3">
        <v>33</v>
      </c>
      <c r="J908" s="3">
        <v>33</v>
      </c>
      <c r="K908" t="s">
        <v>15</v>
      </c>
      <c r="L908" s="2">
        <f t="shared" si="42"/>
        <v>0.57000000000000006</v>
      </c>
      <c r="M908" s="2">
        <f t="shared" si="43"/>
        <v>156.21</v>
      </c>
      <c r="N908" s="2">
        <f t="shared" si="44"/>
        <v>70.110000000000014</v>
      </c>
    </row>
    <row r="909" spans="1:14">
      <c r="A909" t="s">
        <v>1018</v>
      </c>
      <c r="B909" t="s">
        <v>32</v>
      </c>
      <c r="C909" t="s">
        <v>33</v>
      </c>
      <c r="D909" t="s">
        <v>42</v>
      </c>
      <c r="E909" s="2">
        <v>5.68</v>
      </c>
      <c r="F909" s="2">
        <v>9.07</v>
      </c>
      <c r="G909" s="3">
        <v>196</v>
      </c>
      <c r="H909" s="3">
        <v>97</v>
      </c>
      <c r="I909" s="3">
        <v>99</v>
      </c>
      <c r="J909" s="3">
        <v>24</v>
      </c>
      <c r="K909" t="s">
        <v>20</v>
      </c>
      <c r="L909" s="2">
        <f t="shared" si="42"/>
        <v>3.3900000000000006</v>
      </c>
      <c r="M909" s="2">
        <f t="shared" si="43"/>
        <v>879.79000000000008</v>
      </c>
      <c r="N909" s="2">
        <f t="shared" si="44"/>
        <v>328.83000000000004</v>
      </c>
    </row>
    <row r="910" spans="1:14">
      <c r="A910" t="s">
        <v>1019</v>
      </c>
      <c r="B910" t="s">
        <v>147</v>
      </c>
      <c r="C910" t="s">
        <v>33</v>
      </c>
      <c r="D910" t="s">
        <v>39</v>
      </c>
      <c r="E910" s="2">
        <v>8.27</v>
      </c>
      <c r="F910" s="2">
        <v>17.14</v>
      </c>
      <c r="G910" s="3">
        <v>298</v>
      </c>
      <c r="H910" s="3">
        <v>241</v>
      </c>
      <c r="I910" s="3">
        <v>57</v>
      </c>
      <c r="J910" s="3">
        <v>35</v>
      </c>
      <c r="K910" t="s">
        <v>20</v>
      </c>
      <c r="L910" s="2">
        <f t="shared" si="42"/>
        <v>8.870000000000001</v>
      </c>
      <c r="M910" s="2">
        <f t="shared" si="43"/>
        <v>4130.74</v>
      </c>
      <c r="N910" s="2">
        <f t="shared" si="44"/>
        <v>2137.67</v>
      </c>
    </row>
    <row r="911" spans="1:14">
      <c r="A911" t="s">
        <v>1020</v>
      </c>
      <c r="B911" t="s">
        <v>37</v>
      </c>
      <c r="C911" t="s">
        <v>23</v>
      </c>
      <c r="D911" t="s">
        <v>19</v>
      </c>
      <c r="E911" s="2">
        <v>1.96</v>
      </c>
      <c r="F911" s="2">
        <v>2.95</v>
      </c>
      <c r="G911" s="3">
        <v>97</v>
      </c>
      <c r="H911" s="3">
        <v>10</v>
      </c>
      <c r="I911" s="3">
        <v>87</v>
      </c>
      <c r="J911" s="3">
        <v>10</v>
      </c>
      <c r="K911" t="s">
        <v>20</v>
      </c>
      <c r="L911" s="2">
        <f t="shared" si="42"/>
        <v>0.99000000000000021</v>
      </c>
      <c r="M911" s="2">
        <f t="shared" si="43"/>
        <v>29.5</v>
      </c>
      <c r="N911" s="2">
        <f t="shared" si="44"/>
        <v>9.9000000000000021</v>
      </c>
    </row>
    <row r="912" spans="1:14">
      <c r="A912" t="s">
        <v>1021</v>
      </c>
      <c r="B912" t="s">
        <v>164</v>
      </c>
      <c r="C912" t="s">
        <v>18</v>
      </c>
      <c r="D912" t="s">
        <v>100</v>
      </c>
      <c r="E912" s="2">
        <v>5.0199999999999996</v>
      </c>
      <c r="F912" s="2">
        <v>7.14</v>
      </c>
      <c r="G912" s="3">
        <v>100</v>
      </c>
      <c r="H912" s="3">
        <v>74</v>
      </c>
      <c r="I912" s="3">
        <v>26</v>
      </c>
      <c r="J912" s="3">
        <v>12</v>
      </c>
      <c r="K912" t="s">
        <v>20</v>
      </c>
      <c r="L912" s="2">
        <f t="shared" si="42"/>
        <v>2.12</v>
      </c>
      <c r="M912" s="2">
        <f t="shared" si="43"/>
        <v>528.36</v>
      </c>
      <c r="N912" s="2">
        <f t="shared" si="44"/>
        <v>156.88</v>
      </c>
    </row>
    <row r="913" spans="1:14">
      <c r="A913" t="s">
        <v>1022</v>
      </c>
      <c r="B913" t="s">
        <v>87</v>
      </c>
      <c r="C913" t="s">
        <v>88</v>
      </c>
      <c r="D913" t="s">
        <v>42</v>
      </c>
      <c r="E913" s="2">
        <v>59.73</v>
      </c>
      <c r="F913" s="2">
        <v>103.4</v>
      </c>
      <c r="G913" s="3">
        <v>258</v>
      </c>
      <c r="H913" s="3">
        <v>232</v>
      </c>
      <c r="I913" s="3">
        <v>26</v>
      </c>
      <c r="J913" s="3">
        <v>37</v>
      </c>
      <c r="K913" t="s">
        <v>15</v>
      </c>
      <c r="L913" s="2">
        <f t="shared" si="42"/>
        <v>43.670000000000009</v>
      </c>
      <c r="M913" s="2">
        <f t="shared" si="43"/>
        <v>23988.800000000003</v>
      </c>
      <c r="N913" s="2">
        <f t="shared" si="44"/>
        <v>10131.440000000002</v>
      </c>
    </row>
    <row r="914" spans="1:14">
      <c r="A914" t="s">
        <v>1023</v>
      </c>
      <c r="B914" t="s">
        <v>26</v>
      </c>
      <c r="C914" t="s">
        <v>27</v>
      </c>
      <c r="D914" t="s">
        <v>28</v>
      </c>
      <c r="E914" s="2">
        <v>7.25</v>
      </c>
      <c r="F914" s="2">
        <v>10.58</v>
      </c>
      <c r="G914" s="3">
        <v>497</v>
      </c>
      <c r="H914" s="3">
        <v>380</v>
      </c>
      <c r="I914" s="3">
        <v>117</v>
      </c>
      <c r="J914" s="3">
        <v>53</v>
      </c>
      <c r="K914" t="s">
        <v>20</v>
      </c>
      <c r="L914" s="2">
        <f t="shared" si="42"/>
        <v>3.33</v>
      </c>
      <c r="M914" s="2">
        <f t="shared" si="43"/>
        <v>4020.4</v>
      </c>
      <c r="N914" s="2">
        <f t="shared" si="44"/>
        <v>1265.4000000000001</v>
      </c>
    </row>
    <row r="915" spans="1:14">
      <c r="A915" t="s">
        <v>1024</v>
      </c>
      <c r="B915" t="s">
        <v>79</v>
      </c>
      <c r="C915" t="s">
        <v>13</v>
      </c>
      <c r="D915" t="s">
        <v>42</v>
      </c>
      <c r="E915" s="2">
        <v>3.63</v>
      </c>
      <c r="F915" s="2">
        <v>5.89</v>
      </c>
      <c r="G915" s="3">
        <v>308</v>
      </c>
      <c r="H915" s="3">
        <v>263</v>
      </c>
      <c r="I915" s="3">
        <v>45</v>
      </c>
      <c r="J915" s="3">
        <v>48</v>
      </c>
      <c r="K915" t="s">
        <v>15</v>
      </c>
      <c r="L915" s="2">
        <f t="shared" si="42"/>
        <v>2.2599999999999998</v>
      </c>
      <c r="M915" s="2">
        <f t="shared" si="43"/>
        <v>1549.07</v>
      </c>
      <c r="N915" s="2">
        <f t="shared" si="44"/>
        <v>594.38</v>
      </c>
    </row>
    <row r="916" spans="1:14">
      <c r="A916" t="s">
        <v>1025</v>
      </c>
      <c r="B916" t="s">
        <v>183</v>
      </c>
      <c r="C916" t="s">
        <v>53</v>
      </c>
      <c r="D916" t="s">
        <v>77</v>
      </c>
      <c r="E916" s="2">
        <v>23.36</v>
      </c>
      <c r="F916" s="2">
        <v>47.81</v>
      </c>
      <c r="G916" s="3">
        <v>300</v>
      </c>
      <c r="H916" s="3">
        <v>66</v>
      </c>
      <c r="I916" s="3">
        <v>234</v>
      </c>
      <c r="J916" s="3">
        <v>31</v>
      </c>
      <c r="K916" t="s">
        <v>20</v>
      </c>
      <c r="L916" s="2">
        <f t="shared" si="42"/>
        <v>24.450000000000003</v>
      </c>
      <c r="M916" s="2">
        <f t="shared" si="43"/>
        <v>3155.46</v>
      </c>
      <c r="N916" s="2">
        <f t="shared" si="44"/>
        <v>1613.7000000000003</v>
      </c>
    </row>
    <row r="917" spans="1:14">
      <c r="A917" t="s">
        <v>1026</v>
      </c>
      <c r="B917" t="s">
        <v>22</v>
      </c>
      <c r="C917" t="s">
        <v>23</v>
      </c>
      <c r="D917" t="s">
        <v>100</v>
      </c>
      <c r="E917" s="2">
        <v>5.34</v>
      </c>
      <c r="F917" s="2">
        <v>11.13</v>
      </c>
      <c r="G917" s="3">
        <v>410</v>
      </c>
      <c r="H917" s="3">
        <v>175</v>
      </c>
      <c r="I917" s="3">
        <v>235</v>
      </c>
      <c r="J917" s="3">
        <v>62</v>
      </c>
      <c r="K917" t="s">
        <v>20</v>
      </c>
      <c r="L917" s="2">
        <f t="shared" si="42"/>
        <v>5.7900000000000009</v>
      </c>
      <c r="M917" s="2">
        <f t="shared" si="43"/>
        <v>1947.7500000000002</v>
      </c>
      <c r="N917" s="2">
        <f t="shared" si="44"/>
        <v>1013.2500000000001</v>
      </c>
    </row>
    <row r="918" spans="1:14">
      <c r="A918" t="s">
        <v>1027</v>
      </c>
      <c r="B918" t="s">
        <v>81</v>
      </c>
      <c r="C918" t="s">
        <v>47</v>
      </c>
      <c r="D918" t="s">
        <v>14</v>
      </c>
      <c r="E918" s="2">
        <v>3.83</v>
      </c>
      <c r="F918" s="2">
        <v>6.14</v>
      </c>
      <c r="G918" s="3">
        <v>71</v>
      </c>
      <c r="H918" s="3">
        <v>61</v>
      </c>
      <c r="I918" s="3">
        <v>10</v>
      </c>
      <c r="J918" s="3">
        <v>14</v>
      </c>
      <c r="K918" t="s">
        <v>15</v>
      </c>
      <c r="L918" s="2">
        <f t="shared" si="42"/>
        <v>2.3099999999999996</v>
      </c>
      <c r="M918" s="2">
        <f t="shared" si="43"/>
        <v>374.53999999999996</v>
      </c>
      <c r="N918" s="2">
        <f t="shared" si="44"/>
        <v>140.90999999999997</v>
      </c>
    </row>
    <row r="919" spans="1:14">
      <c r="A919" t="s">
        <v>1028</v>
      </c>
      <c r="B919" t="s">
        <v>229</v>
      </c>
      <c r="C919" t="s">
        <v>88</v>
      </c>
      <c r="D919" t="s">
        <v>42</v>
      </c>
      <c r="E919" s="2">
        <v>39.799999999999997</v>
      </c>
      <c r="F919" s="2">
        <v>54.47</v>
      </c>
      <c r="G919" s="3">
        <v>328</v>
      </c>
      <c r="H919" s="3">
        <v>237</v>
      </c>
      <c r="I919" s="3">
        <v>91</v>
      </c>
      <c r="J919" s="3">
        <v>54</v>
      </c>
      <c r="K919" t="s">
        <v>20</v>
      </c>
      <c r="L919" s="2">
        <f t="shared" si="42"/>
        <v>14.670000000000002</v>
      </c>
      <c r="M919" s="2">
        <f t="shared" si="43"/>
        <v>12909.39</v>
      </c>
      <c r="N919" s="2">
        <f t="shared" si="44"/>
        <v>3476.7900000000004</v>
      </c>
    </row>
    <row r="920" spans="1:14">
      <c r="A920" t="s">
        <v>1029</v>
      </c>
      <c r="B920" t="s">
        <v>62</v>
      </c>
      <c r="C920" t="s">
        <v>13</v>
      </c>
      <c r="D920" t="s">
        <v>14</v>
      </c>
      <c r="E920" s="2">
        <v>11.85</v>
      </c>
      <c r="F920" s="2">
        <v>22.38</v>
      </c>
      <c r="G920" s="3">
        <v>226</v>
      </c>
      <c r="H920" s="3">
        <v>174</v>
      </c>
      <c r="I920" s="3">
        <v>52</v>
      </c>
      <c r="J920" s="3">
        <v>41</v>
      </c>
      <c r="K920" t="s">
        <v>20</v>
      </c>
      <c r="L920" s="2">
        <f t="shared" si="42"/>
        <v>10.53</v>
      </c>
      <c r="M920" s="2">
        <f t="shared" si="43"/>
        <v>3894.12</v>
      </c>
      <c r="N920" s="2">
        <f t="shared" si="44"/>
        <v>1832.2199999999998</v>
      </c>
    </row>
    <row r="921" spans="1:14">
      <c r="A921" t="s">
        <v>1030</v>
      </c>
      <c r="B921" t="s">
        <v>83</v>
      </c>
      <c r="C921" t="s">
        <v>47</v>
      </c>
      <c r="D921" t="s">
        <v>28</v>
      </c>
      <c r="E921" s="2">
        <v>1.67</v>
      </c>
      <c r="F921" s="2">
        <v>2.77</v>
      </c>
      <c r="G921" s="3">
        <v>422</v>
      </c>
      <c r="H921" s="3">
        <v>324</v>
      </c>
      <c r="I921" s="3">
        <v>98</v>
      </c>
      <c r="J921" s="3">
        <v>86</v>
      </c>
      <c r="K921" t="s">
        <v>20</v>
      </c>
      <c r="L921" s="2">
        <f t="shared" si="42"/>
        <v>1.1000000000000001</v>
      </c>
      <c r="M921" s="2">
        <f t="shared" si="43"/>
        <v>897.48</v>
      </c>
      <c r="N921" s="2">
        <f t="shared" si="44"/>
        <v>356.40000000000003</v>
      </c>
    </row>
    <row r="922" spans="1:14">
      <c r="A922" t="s">
        <v>1031</v>
      </c>
      <c r="B922" t="s">
        <v>299</v>
      </c>
      <c r="C922" t="s">
        <v>13</v>
      </c>
      <c r="D922" t="s">
        <v>77</v>
      </c>
      <c r="E922" s="2">
        <v>11.45</v>
      </c>
      <c r="F922" s="2">
        <v>22.62</v>
      </c>
      <c r="G922" s="3">
        <v>113</v>
      </c>
      <c r="H922" s="3">
        <v>106</v>
      </c>
      <c r="I922" s="3">
        <v>7</v>
      </c>
      <c r="J922" s="3">
        <v>25</v>
      </c>
      <c r="K922" t="s">
        <v>15</v>
      </c>
      <c r="L922" s="2">
        <f t="shared" si="42"/>
        <v>11.170000000000002</v>
      </c>
      <c r="M922" s="2">
        <f t="shared" si="43"/>
        <v>2397.7200000000003</v>
      </c>
      <c r="N922" s="2">
        <f t="shared" si="44"/>
        <v>1184.0200000000002</v>
      </c>
    </row>
    <row r="923" spans="1:14">
      <c r="A923" t="s">
        <v>1032</v>
      </c>
      <c r="B923" t="s">
        <v>299</v>
      </c>
      <c r="C923" t="s">
        <v>13</v>
      </c>
      <c r="D923" t="s">
        <v>39</v>
      </c>
      <c r="E923" s="2">
        <v>14.4</v>
      </c>
      <c r="F923" s="2">
        <v>30.84</v>
      </c>
      <c r="G923" s="3">
        <v>233</v>
      </c>
      <c r="H923" s="3">
        <v>175</v>
      </c>
      <c r="I923" s="3">
        <v>58</v>
      </c>
      <c r="J923" s="3">
        <v>40</v>
      </c>
      <c r="K923" t="s">
        <v>20</v>
      </c>
      <c r="L923" s="2">
        <f t="shared" si="42"/>
        <v>16.439999999999998</v>
      </c>
      <c r="M923" s="2">
        <f t="shared" si="43"/>
        <v>5397</v>
      </c>
      <c r="N923" s="2">
        <f t="shared" si="44"/>
        <v>2876.9999999999995</v>
      </c>
    </row>
    <row r="924" spans="1:14">
      <c r="A924" t="s">
        <v>1033</v>
      </c>
      <c r="B924" t="s">
        <v>186</v>
      </c>
      <c r="C924" t="s">
        <v>13</v>
      </c>
      <c r="D924" t="s">
        <v>39</v>
      </c>
      <c r="E924" s="2">
        <v>5.8</v>
      </c>
      <c r="F924" s="2">
        <v>12.41</v>
      </c>
      <c r="G924" s="3">
        <v>435</v>
      </c>
      <c r="H924" s="3">
        <v>402</v>
      </c>
      <c r="I924" s="3">
        <v>33</v>
      </c>
      <c r="J924" s="3">
        <v>86</v>
      </c>
      <c r="K924" t="s">
        <v>15</v>
      </c>
      <c r="L924" s="2">
        <f t="shared" si="42"/>
        <v>6.61</v>
      </c>
      <c r="M924" s="2">
        <f t="shared" si="43"/>
        <v>4988.82</v>
      </c>
      <c r="N924" s="2">
        <f t="shared" si="44"/>
        <v>2657.2200000000003</v>
      </c>
    </row>
    <row r="925" spans="1:14">
      <c r="A925" t="s">
        <v>1034</v>
      </c>
      <c r="B925" t="s">
        <v>259</v>
      </c>
      <c r="C925" t="s">
        <v>53</v>
      </c>
      <c r="D925" t="s">
        <v>54</v>
      </c>
      <c r="E925" s="2">
        <v>31.92</v>
      </c>
      <c r="F925" s="2">
        <v>63.84</v>
      </c>
      <c r="G925" s="3">
        <v>434</v>
      </c>
      <c r="H925" s="3">
        <v>78</v>
      </c>
      <c r="I925" s="3">
        <v>356</v>
      </c>
      <c r="J925" s="3">
        <v>47</v>
      </c>
      <c r="K925" t="s">
        <v>20</v>
      </c>
      <c r="L925" s="2">
        <f t="shared" si="42"/>
        <v>31.92</v>
      </c>
      <c r="M925" s="2">
        <f t="shared" si="43"/>
        <v>4979.5200000000004</v>
      </c>
      <c r="N925" s="2">
        <f t="shared" si="44"/>
        <v>2489.7600000000002</v>
      </c>
    </row>
    <row r="926" spans="1:14">
      <c r="A926" t="s">
        <v>1035</v>
      </c>
      <c r="B926" t="s">
        <v>106</v>
      </c>
      <c r="C926" t="s">
        <v>33</v>
      </c>
      <c r="D926" t="s">
        <v>42</v>
      </c>
      <c r="E926" s="2">
        <v>10.48</v>
      </c>
      <c r="F926" s="2">
        <v>15.08</v>
      </c>
      <c r="G926" s="3">
        <v>405</v>
      </c>
      <c r="H926" s="3">
        <v>140</v>
      </c>
      <c r="I926" s="3">
        <v>265</v>
      </c>
      <c r="J926" s="3">
        <v>44</v>
      </c>
      <c r="K926" t="s">
        <v>20</v>
      </c>
      <c r="L926" s="2">
        <f t="shared" si="42"/>
        <v>4.5999999999999996</v>
      </c>
      <c r="M926" s="2">
        <f t="shared" si="43"/>
        <v>2111.1999999999998</v>
      </c>
      <c r="N926" s="2">
        <f t="shared" si="44"/>
        <v>644</v>
      </c>
    </row>
    <row r="927" spans="1:14">
      <c r="A927" t="s">
        <v>1036</v>
      </c>
      <c r="B927" t="s">
        <v>186</v>
      </c>
      <c r="C927" t="s">
        <v>13</v>
      </c>
      <c r="D927" t="s">
        <v>14</v>
      </c>
      <c r="E927" s="2">
        <v>8.65</v>
      </c>
      <c r="F927" s="2">
        <v>13.72</v>
      </c>
      <c r="G927" s="3">
        <v>463</v>
      </c>
      <c r="H927" s="3">
        <v>112</v>
      </c>
      <c r="I927" s="3">
        <v>351</v>
      </c>
      <c r="J927" s="3">
        <v>59</v>
      </c>
      <c r="K927" t="s">
        <v>20</v>
      </c>
      <c r="L927" s="2">
        <f t="shared" si="42"/>
        <v>5.07</v>
      </c>
      <c r="M927" s="2">
        <f t="shared" si="43"/>
        <v>1536.64</v>
      </c>
      <c r="N927" s="2">
        <f t="shared" si="44"/>
        <v>567.84</v>
      </c>
    </row>
    <row r="928" spans="1:14">
      <c r="A928" t="s">
        <v>1037</v>
      </c>
      <c r="B928" t="s">
        <v>229</v>
      </c>
      <c r="C928" t="s">
        <v>88</v>
      </c>
      <c r="D928" t="s">
        <v>39</v>
      </c>
      <c r="E928" s="2">
        <v>30.55</v>
      </c>
      <c r="F928" s="2">
        <v>48.57</v>
      </c>
      <c r="G928" s="3">
        <v>171</v>
      </c>
      <c r="H928" s="3">
        <v>76</v>
      </c>
      <c r="I928" s="3">
        <v>95</v>
      </c>
      <c r="J928" s="3">
        <v>21</v>
      </c>
      <c r="K928" t="s">
        <v>20</v>
      </c>
      <c r="L928" s="2">
        <f t="shared" si="42"/>
        <v>18.02</v>
      </c>
      <c r="M928" s="2">
        <f t="shared" si="43"/>
        <v>3691.32</v>
      </c>
      <c r="N928" s="2">
        <f t="shared" si="44"/>
        <v>1369.52</v>
      </c>
    </row>
    <row r="929" spans="1:14">
      <c r="A929" t="s">
        <v>1038</v>
      </c>
      <c r="B929" t="s">
        <v>41</v>
      </c>
      <c r="C929" t="s">
        <v>23</v>
      </c>
      <c r="D929" t="s">
        <v>14</v>
      </c>
      <c r="E929" s="2">
        <v>6.88</v>
      </c>
      <c r="F929" s="2">
        <v>12.41</v>
      </c>
      <c r="G929" s="3">
        <v>471</v>
      </c>
      <c r="H929" s="3">
        <v>130</v>
      </c>
      <c r="I929" s="3">
        <v>341</v>
      </c>
      <c r="J929" s="3">
        <v>90</v>
      </c>
      <c r="K929" t="s">
        <v>20</v>
      </c>
      <c r="L929" s="2">
        <f t="shared" si="42"/>
        <v>5.53</v>
      </c>
      <c r="M929" s="2">
        <f t="shared" si="43"/>
        <v>1613.3</v>
      </c>
      <c r="N929" s="2">
        <f t="shared" si="44"/>
        <v>718.9</v>
      </c>
    </row>
    <row r="930" spans="1:14">
      <c r="A930" t="s">
        <v>1039</v>
      </c>
      <c r="B930" t="s">
        <v>104</v>
      </c>
      <c r="C930" t="s">
        <v>33</v>
      </c>
      <c r="D930" t="s">
        <v>77</v>
      </c>
      <c r="E930" s="2">
        <v>9.31</v>
      </c>
      <c r="F930" s="2">
        <v>17.27</v>
      </c>
      <c r="G930" s="3">
        <v>373</v>
      </c>
      <c r="H930" s="3">
        <v>197</v>
      </c>
      <c r="I930" s="3">
        <v>176</v>
      </c>
      <c r="J930" s="3">
        <v>38</v>
      </c>
      <c r="K930" t="s">
        <v>20</v>
      </c>
      <c r="L930" s="2">
        <f t="shared" si="42"/>
        <v>7.9599999999999991</v>
      </c>
      <c r="M930" s="2">
        <f t="shared" si="43"/>
        <v>3402.19</v>
      </c>
      <c r="N930" s="2">
        <f t="shared" si="44"/>
        <v>1568.12</v>
      </c>
    </row>
    <row r="931" spans="1:14">
      <c r="A931" t="s">
        <v>1040</v>
      </c>
      <c r="B931" t="s">
        <v>106</v>
      </c>
      <c r="C931" t="s">
        <v>33</v>
      </c>
      <c r="D931" t="s">
        <v>54</v>
      </c>
      <c r="E931" s="2">
        <v>4.1500000000000004</v>
      </c>
      <c r="F931" s="2">
        <v>7.02</v>
      </c>
      <c r="G931" s="3">
        <v>391</v>
      </c>
      <c r="H931" s="3">
        <v>56</v>
      </c>
      <c r="I931" s="3">
        <v>335</v>
      </c>
      <c r="J931" s="3">
        <v>78</v>
      </c>
      <c r="K931" t="s">
        <v>20</v>
      </c>
      <c r="L931" s="2">
        <f t="shared" si="42"/>
        <v>2.8699999999999992</v>
      </c>
      <c r="M931" s="2">
        <f t="shared" si="43"/>
        <v>393.12</v>
      </c>
      <c r="N931" s="2">
        <f t="shared" si="44"/>
        <v>160.71999999999997</v>
      </c>
    </row>
    <row r="932" spans="1:14">
      <c r="A932" t="s">
        <v>1041</v>
      </c>
      <c r="B932" t="s">
        <v>35</v>
      </c>
      <c r="C932" t="s">
        <v>13</v>
      </c>
      <c r="D932" t="s">
        <v>14</v>
      </c>
      <c r="E932" s="2">
        <v>3.14</v>
      </c>
      <c r="F932" s="2">
        <v>6.34</v>
      </c>
      <c r="G932" s="3">
        <v>247</v>
      </c>
      <c r="H932" s="3">
        <v>83</v>
      </c>
      <c r="I932" s="3">
        <v>164</v>
      </c>
      <c r="J932" s="3">
        <v>57</v>
      </c>
      <c r="K932" t="s">
        <v>20</v>
      </c>
      <c r="L932" s="2">
        <f t="shared" si="42"/>
        <v>3.1999999999999997</v>
      </c>
      <c r="M932" s="2">
        <f t="shared" si="43"/>
        <v>526.22</v>
      </c>
      <c r="N932" s="2">
        <f t="shared" si="44"/>
        <v>265.59999999999997</v>
      </c>
    </row>
    <row r="933" spans="1:14">
      <c r="A933" t="s">
        <v>1042</v>
      </c>
      <c r="B933" t="s">
        <v>94</v>
      </c>
      <c r="C933" t="s">
        <v>33</v>
      </c>
      <c r="D933" t="s">
        <v>48</v>
      </c>
      <c r="E933" s="2">
        <v>10.45</v>
      </c>
      <c r="F933" s="2">
        <v>14.7</v>
      </c>
      <c r="G933" s="3">
        <v>448</v>
      </c>
      <c r="H933" s="3">
        <v>417</v>
      </c>
      <c r="I933" s="3">
        <v>31</v>
      </c>
      <c r="J933" s="3">
        <v>102</v>
      </c>
      <c r="K933" t="s">
        <v>15</v>
      </c>
      <c r="L933" s="2">
        <f t="shared" si="42"/>
        <v>4.25</v>
      </c>
      <c r="M933" s="2">
        <f t="shared" si="43"/>
        <v>6129.9</v>
      </c>
      <c r="N933" s="2">
        <f t="shared" si="44"/>
        <v>1772.25</v>
      </c>
    </row>
    <row r="934" spans="1:14">
      <c r="A934" t="s">
        <v>1043</v>
      </c>
      <c r="B934" t="s">
        <v>147</v>
      </c>
      <c r="C934" t="s">
        <v>33</v>
      </c>
      <c r="D934" t="s">
        <v>14</v>
      </c>
      <c r="E934" s="2">
        <v>7.73</v>
      </c>
      <c r="F934" s="2">
        <v>13.75</v>
      </c>
      <c r="G934" s="3">
        <v>55</v>
      </c>
      <c r="H934" s="3">
        <v>42</v>
      </c>
      <c r="I934" s="3">
        <v>13</v>
      </c>
      <c r="J934" s="3">
        <v>6</v>
      </c>
      <c r="K934" t="s">
        <v>20</v>
      </c>
      <c r="L934" s="2">
        <f t="shared" si="42"/>
        <v>6.02</v>
      </c>
      <c r="M934" s="2">
        <f t="shared" si="43"/>
        <v>577.5</v>
      </c>
      <c r="N934" s="2">
        <f t="shared" si="44"/>
        <v>252.83999999999997</v>
      </c>
    </row>
    <row r="935" spans="1:14">
      <c r="A935" t="s">
        <v>1044</v>
      </c>
      <c r="B935" t="s">
        <v>58</v>
      </c>
      <c r="C935" t="s">
        <v>18</v>
      </c>
      <c r="D935" t="s">
        <v>24</v>
      </c>
      <c r="E935" s="2">
        <v>3.96</v>
      </c>
      <c r="F935" s="2">
        <v>6.32</v>
      </c>
      <c r="G935" s="3">
        <v>233</v>
      </c>
      <c r="H935" s="3">
        <v>123</v>
      </c>
      <c r="I935" s="3">
        <v>110</v>
      </c>
      <c r="J935" s="3">
        <v>36</v>
      </c>
      <c r="K935" t="s">
        <v>20</v>
      </c>
      <c r="L935" s="2">
        <f t="shared" si="42"/>
        <v>2.3600000000000003</v>
      </c>
      <c r="M935" s="2">
        <f t="shared" si="43"/>
        <v>777.36</v>
      </c>
      <c r="N935" s="2">
        <f t="shared" si="44"/>
        <v>290.28000000000003</v>
      </c>
    </row>
    <row r="936" spans="1:14">
      <c r="A936" t="s">
        <v>1045</v>
      </c>
      <c r="B936" t="s">
        <v>104</v>
      </c>
      <c r="C936" t="s">
        <v>33</v>
      </c>
      <c r="D936" t="s">
        <v>19</v>
      </c>
      <c r="E936" s="2">
        <v>10.32</v>
      </c>
      <c r="F936" s="2">
        <v>19.71</v>
      </c>
      <c r="G936" s="3">
        <v>160</v>
      </c>
      <c r="H936" s="3">
        <v>45</v>
      </c>
      <c r="I936" s="3">
        <v>115</v>
      </c>
      <c r="J936" s="3">
        <v>25</v>
      </c>
      <c r="K936" t="s">
        <v>20</v>
      </c>
      <c r="L936" s="2">
        <f t="shared" si="42"/>
        <v>9.39</v>
      </c>
      <c r="M936" s="2">
        <f t="shared" si="43"/>
        <v>886.95</v>
      </c>
      <c r="N936" s="2">
        <f t="shared" si="44"/>
        <v>422.55</v>
      </c>
    </row>
    <row r="937" spans="1:14">
      <c r="A937" t="s">
        <v>1046</v>
      </c>
      <c r="B937" t="s">
        <v>172</v>
      </c>
      <c r="C937" t="s">
        <v>18</v>
      </c>
      <c r="D937" t="s">
        <v>100</v>
      </c>
      <c r="E937" s="2">
        <v>12.94</v>
      </c>
      <c r="F937" s="2">
        <v>24.49</v>
      </c>
      <c r="G937" s="3">
        <v>166</v>
      </c>
      <c r="H937" s="3">
        <v>47</v>
      </c>
      <c r="I937" s="3">
        <v>119</v>
      </c>
      <c r="J937" s="3">
        <v>34</v>
      </c>
      <c r="K937" t="s">
        <v>20</v>
      </c>
      <c r="L937" s="2">
        <f t="shared" si="42"/>
        <v>11.549999999999999</v>
      </c>
      <c r="M937" s="2">
        <f t="shared" si="43"/>
        <v>1151.03</v>
      </c>
      <c r="N937" s="2">
        <f t="shared" si="44"/>
        <v>542.84999999999991</v>
      </c>
    </row>
    <row r="938" spans="1:14">
      <c r="A938" t="s">
        <v>1047</v>
      </c>
      <c r="B938" t="s">
        <v>172</v>
      </c>
      <c r="C938" t="s">
        <v>18</v>
      </c>
      <c r="D938" t="s">
        <v>14</v>
      </c>
      <c r="E938" s="2">
        <v>13.62</v>
      </c>
      <c r="F938" s="2">
        <v>25.36</v>
      </c>
      <c r="G938" s="3">
        <v>92</v>
      </c>
      <c r="H938" s="3">
        <v>67</v>
      </c>
      <c r="I938" s="3">
        <v>25</v>
      </c>
      <c r="J938" s="3">
        <v>17</v>
      </c>
      <c r="K938" t="s">
        <v>20</v>
      </c>
      <c r="L938" s="2">
        <f t="shared" si="42"/>
        <v>11.74</v>
      </c>
      <c r="M938" s="2">
        <f t="shared" si="43"/>
        <v>1699.12</v>
      </c>
      <c r="N938" s="2">
        <f t="shared" si="44"/>
        <v>786.58</v>
      </c>
    </row>
    <row r="939" spans="1:14">
      <c r="A939" t="s">
        <v>1048</v>
      </c>
      <c r="B939" t="s">
        <v>97</v>
      </c>
      <c r="C939" t="s">
        <v>53</v>
      </c>
      <c r="D939" t="s">
        <v>77</v>
      </c>
      <c r="E939" s="2">
        <v>21.08</v>
      </c>
      <c r="F939" s="2">
        <v>43.85</v>
      </c>
      <c r="G939" s="3">
        <v>93</v>
      </c>
      <c r="H939" s="3">
        <v>53</v>
      </c>
      <c r="I939" s="3">
        <v>40</v>
      </c>
      <c r="J939" s="3">
        <v>11</v>
      </c>
      <c r="K939" t="s">
        <v>20</v>
      </c>
      <c r="L939" s="2">
        <f t="shared" si="42"/>
        <v>22.770000000000003</v>
      </c>
      <c r="M939" s="2">
        <f t="shared" si="43"/>
        <v>2324.0500000000002</v>
      </c>
      <c r="N939" s="2">
        <f t="shared" si="44"/>
        <v>1206.8100000000002</v>
      </c>
    </row>
    <row r="940" spans="1:14">
      <c r="A940" t="s">
        <v>1049</v>
      </c>
      <c r="B940" t="s">
        <v>85</v>
      </c>
      <c r="C940" t="s">
        <v>27</v>
      </c>
      <c r="D940" t="s">
        <v>39</v>
      </c>
      <c r="E940" s="2">
        <v>3.9</v>
      </c>
      <c r="F940" s="2">
        <v>7.15</v>
      </c>
      <c r="G940" s="3">
        <v>499</v>
      </c>
      <c r="H940" s="3">
        <v>180</v>
      </c>
      <c r="I940" s="3">
        <v>319</v>
      </c>
      <c r="J940" s="3">
        <v>66</v>
      </c>
      <c r="K940" t="s">
        <v>20</v>
      </c>
      <c r="L940" s="2">
        <f t="shared" si="42"/>
        <v>3.2500000000000004</v>
      </c>
      <c r="M940" s="2">
        <f t="shared" si="43"/>
        <v>1287</v>
      </c>
      <c r="N940" s="2">
        <f t="shared" si="44"/>
        <v>585.00000000000011</v>
      </c>
    </row>
    <row r="941" spans="1:14">
      <c r="A941" t="s">
        <v>1050</v>
      </c>
      <c r="B941" t="s">
        <v>149</v>
      </c>
      <c r="C941" t="s">
        <v>47</v>
      </c>
      <c r="D941" t="s">
        <v>42</v>
      </c>
      <c r="E941" s="2">
        <v>8.91</v>
      </c>
      <c r="F941" s="2">
        <v>13.27</v>
      </c>
      <c r="G941" s="3">
        <v>273</v>
      </c>
      <c r="H941" s="3">
        <v>185</v>
      </c>
      <c r="I941" s="3">
        <v>88</v>
      </c>
      <c r="J941" s="3">
        <v>48</v>
      </c>
      <c r="K941" t="s">
        <v>20</v>
      </c>
      <c r="L941" s="2">
        <f t="shared" si="42"/>
        <v>4.3599999999999994</v>
      </c>
      <c r="M941" s="2">
        <f t="shared" si="43"/>
        <v>2454.9499999999998</v>
      </c>
      <c r="N941" s="2">
        <f t="shared" si="44"/>
        <v>806.59999999999991</v>
      </c>
    </row>
    <row r="942" spans="1:14">
      <c r="A942" t="s">
        <v>1051</v>
      </c>
      <c r="B942" t="s">
        <v>66</v>
      </c>
      <c r="C942" t="s">
        <v>18</v>
      </c>
      <c r="D942" t="s">
        <v>77</v>
      </c>
      <c r="E942" s="2">
        <v>15.95</v>
      </c>
      <c r="F942" s="2">
        <v>34.299999999999997</v>
      </c>
      <c r="G942" s="3">
        <v>297</v>
      </c>
      <c r="H942" s="3">
        <v>140</v>
      </c>
      <c r="I942" s="3">
        <v>157</v>
      </c>
      <c r="J942" s="3">
        <v>66</v>
      </c>
      <c r="K942" t="s">
        <v>20</v>
      </c>
      <c r="L942" s="2">
        <f t="shared" si="42"/>
        <v>18.349999999999998</v>
      </c>
      <c r="M942" s="2">
        <f t="shared" si="43"/>
        <v>4802</v>
      </c>
      <c r="N942" s="2">
        <f t="shared" si="44"/>
        <v>2568.9999999999995</v>
      </c>
    </row>
    <row r="943" spans="1:14">
      <c r="A943" t="s">
        <v>1052</v>
      </c>
      <c r="B943" t="s">
        <v>186</v>
      </c>
      <c r="C943" t="s">
        <v>13</v>
      </c>
      <c r="D943" t="s">
        <v>24</v>
      </c>
      <c r="E943" s="2">
        <v>10.95</v>
      </c>
      <c r="F943" s="2">
        <v>21.56</v>
      </c>
      <c r="G943" s="3">
        <v>446</v>
      </c>
      <c r="H943" s="3">
        <v>122</v>
      </c>
      <c r="I943" s="3">
        <v>324</v>
      </c>
      <c r="J943" s="3">
        <v>68</v>
      </c>
      <c r="K943" t="s">
        <v>20</v>
      </c>
      <c r="L943" s="2">
        <f t="shared" si="42"/>
        <v>10.61</v>
      </c>
      <c r="M943" s="2">
        <f t="shared" si="43"/>
        <v>2630.3199999999997</v>
      </c>
      <c r="N943" s="2">
        <f t="shared" si="44"/>
        <v>1294.4199999999998</v>
      </c>
    </row>
    <row r="944" spans="1:14">
      <c r="A944" t="s">
        <v>1053</v>
      </c>
      <c r="B944" t="s">
        <v>92</v>
      </c>
      <c r="C944" t="s">
        <v>27</v>
      </c>
      <c r="D944" t="s">
        <v>39</v>
      </c>
      <c r="E944" s="2">
        <v>17.86</v>
      </c>
      <c r="F944" s="2">
        <v>31.37</v>
      </c>
      <c r="G944" s="3">
        <v>58</v>
      </c>
      <c r="H944" s="3">
        <v>9</v>
      </c>
      <c r="I944" s="3">
        <v>49</v>
      </c>
      <c r="J944" s="3">
        <v>12</v>
      </c>
      <c r="K944" t="s">
        <v>20</v>
      </c>
      <c r="L944" s="2">
        <f t="shared" si="42"/>
        <v>13.510000000000002</v>
      </c>
      <c r="M944" s="2">
        <f t="shared" si="43"/>
        <v>282.33</v>
      </c>
      <c r="N944" s="2">
        <f t="shared" si="44"/>
        <v>121.59000000000002</v>
      </c>
    </row>
    <row r="945" spans="1:14">
      <c r="A945" t="s">
        <v>1054</v>
      </c>
      <c r="B945" t="s">
        <v>156</v>
      </c>
      <c r="C945" t="s">
        <v>47</v>
      </c>
      <c r="D945" t="s">
        <v>54</v>
      </c>
      <c r="E945" s="2">
        <v>13.27</v>
      </c>
      <c r="F945" s="2">
        <v>24.83</v>
      </c>
      <c r="G945" s="3">
        <v>346</v>
      </c>
      <c r="H945" s="3">
        <v>58</v>
      </c>
      <c r="I945" s="3">
        <v>288</v>
      </c>
      <c r="J945" s="3">
        <v>82</v>
      </c>
      <c r="K945" t="s">
        <v>20</v>
      </c>
      <c r="L945" s="2">
        <f t="shared" si="42"/>
        <v>11.559999999999999</v>
      </c>
      <c r="M945" s="2">
        <f t="shared" si="43"/>
        <v>1440.1399999999999</v>
      </c>
      <c r="N945" s="2">
        <f t="shared" si="44"/>
        <v>670.4799999999999</v>
      </c>
    </row>
    <row r="946" spans="1:14">
      <c r="A946" t="s">
        <v>1055</v>
      </c>
      <c r="B946" t="s">
        <v>153</v>
      </c>
      <c r="C946" t="s">
        <v>27</v>
      </c>
      <c r="D946" t="s">
        <v>54</v>
      </c>
      <c r="E946" s="2">
        <v>13.35</v>
      </c>
      <c r="F946" s="2">
        <v>27.84</v>
      </c>
      <c r="G946" s="3">
        <v>126</v>
      </c>
      <c r="H946" s="3">
        <v>53</v>
      </c>
      <c r="I946" s="3">
        <v>73</v>
      </c>
      <c r="J946" s="3">
        <v>27</v>
      </c>
      <c r="K946" t="s">
        <v>20</v>
      </c>
      <c r="L946" s="2">
        <f t="shared" si="42"/>
        <v>14.49</v>
      </c>
      <c r="M946" s="2">
        <f t="shared" si="43"/>
        <v>1475.52</v>
      </c>
      <c r="N946" s="2">
        <f t="shared" si="44"/>
        <v>767.97</v>
      </c>
    </row>
    <row r="947" spans="1:14">
      <c r="A947" t="s">
        <v>1056</v>
      </c>
      <c r="B947" t="s">
        <v>119</v>
      </c>
      <c r="C947" t="s">
        <v>33</v>
      </c>
      <c r="D947" t="s">
        <v>28</v>
      </c>
      <c r="E947" s="2">
        <v>5.93</v>
      </c>
      <c r="F947" s="2">
        <v>10.28</v>
      </c>
      <c r="G947" s="3">
        <v>211</v>
      </c>
      <c r="H947" s="3">
        <v>88</v>
      </c>
      <c r="I947" s="3">
        <v>123</v>
      </c>
      <c r="J947" s="3">
        <v>37</v>
      </c>
      <c r="K947" t="s">
        <v>20</v>
      </c>
      <c r="L947" s="2">
        <f t="shared" si="42"/>
        <v>4.3499999999999996</v>
      </c>
      <c r="M947" s="2">
        <f t="shared" si="43"/>
        <v>904.64</v>
      </c>
      <c r="N947" s="2">
        <f t="shared" si="44"/>
        <v>382.79999999999995</v>
      </c>
    </row>
    <row r="948" spans="1:14">
      <c r="A948" t="s">
        <v>1057</v>
      </c>
      <c r="B948" t="s">
        <v>90</v>
      </c>
      <c r="C948" t="s">
        <v>88</v>
      </c>
      <c r="D948" t="s">
        <v>77</v>
      </c>
      <c r="E948" s="2">
        <v>22.56</v>
      </c>
      <c r="F948" s="2">
        <v>43.91</v>
      </c>
      <c r="G948" s="3">
        <v>159</v>
      </c>
      <c r="H948" s="3">
        <v>87</v>
      </c>
      <c r="I948" s="3">
        <v>72</v>
      </c>
      <c r="J948" s="3">
        <v>25</v>
      </c>
      <c r="K948" t="s">
        <v>20</v>
      </c>
      <c r="L948" s="2">
        <f t="shared" si="42"/>
        <v>21.349999999999998</v>
      </c>
      <c r="M948" s="2">
        <f t="shared" si="43"/>
        <v>3820.1699999999996</v>
      </c>
      <c r="N948" s="2">
        <f t="shared" si="44"/>
        <v>1857.4499999999998</v>
      </c>
    </row>
    <row r="949" spans="1:14">
      <c r="A949" t="s">
        <v>1058</v>
      </c>
      <c r="B949" t="s">
        <v>183</v>
      </c>
      <c r="C949" t="s">
        <v>53</v>
      </c>
      <c r="D949" t="s">
        <v>54</v>
      </c>
      <c r="E949" s="2">
        <v>30</v>
      </c>
      <c r="F949" s="2">
        <v>55.75</v>
      </c>
      <c r="G949" s="3">
        <v>329</v>
      </c>
      <c r="H949" s="3">
        <v>56</v>
      </c>
      <c r="I949" s="3">
        <v>273</v>
      </c>
      <c r="J949" s="3">
        <v>35</v>
      </c>
      <c r="K949" t="s">
        <v>20</v>
      </c>
      <c r="L949" s="2">
        <f t="shared" si="42"/>
        <v>25.75</v>
      </c>
      <c r="M949" s="2">
        <f t="shared" si="43"/>
        <v>3122</v>
      </c>
      <c r="N949" s="2">
        <f t="shared" si="44"/>
        <v>1442</v>
      </c>
    </row>
    <row r="950" spans="1:14">
      <c r="A950" t="s">
        <v>1059</v>
      </c>
      <c r="B950" t="s">
        <v>421</v>
      </c>
      <c r="C950" t="s">
        <v>33</v>
      </c>
      <c r="D950" t="s">
        <v>54</v>
      </c>
      <c r="E950" s="2">
        <v>11.35</v>
      </c>
      <c r="F950" s="2">
        <v>15.94</v>
      </c>
      <c r="G950" s="3">
        <v>126</v>
      </c>
      <c r="H950" s="3">
        <v>70</v>
      </c>
      <c r="I950" s="3">
        <v>56</v>
      </c>
      <c r="J950" s="3">
        <v>23</v>
      </c>
      <c r="K950" t="s">
        <v>20</v>
      </c>
      <c r="L950" s="2">
        <f t="shared" si="42"/>
        <v>4.59</v>
      </c>
      <c r="M950" s="2">
        <f t="shared" si="43"/>
        <v>1115.8</v>
      </c>
      <c r="N950" s="2">
        <f t="shared" si="44"/>
        <v>321.3</v>
      </c>
    </row>
    <row r="951" spans="1:14">
      <c r="A951" t="s">
        <v>1060</v>
      </c>
      <c r="B951" t="s">
        <v>90</v>
      </c>
      <c r="C951" t="s">
        <v>88</v>
      </c>
      <c r="D951" t="s">
        <v>28</v>
      </c>
      <c r="E951" s="2">
        <v>8.0500000000000007</v>
      </c>
      <c r="F951" s="2">
        <v>13.63</v>
      </c>
      <c r="G951" s="3">
        <v>115</v>
      </c>
      <c r="H951" s="3">
        <v>105</v>
      </c>
      <c r="I951" s="3">
        <v>10</v>
      </c>
      <c r="J951" s="3">
        <v>23</v>
      </c>
      <c r="K951" t="s">
        <v>15</v>
      </c>
      <c r="L951" s="2">
        <f t="shared" si="42"/>
        <v>5.58</v>
      </c>
      <c r="M951" s="2">
        <f t="shared" si="43"/>
        <v>1431.15</v>
      </c>
      <c r="N951" s="2">
        <f t="shared" si="44"/>
        <v>585.9</v>
      </c>
    </row>
    <row r="952" spans="1:14">
      <c r="A952" t="s">
        <v>1061</v>
      </c>
      <c r="B952" t="s">
        <v>156</v>
      </c>
      <c r="C952" t="s">
        <v>47</v>
      </c>
      <c r="D952" t="s">
        <v>54</v>
      </c>
      <c r="E952" s="2">
        <v>0.52</v>
      </c>
      <c r="F952" s="2">
        <v>1.07</v>
      </c>
      <c r="G952" s="3">
        <v>331</v>
      </c>
      <c r="H952" s="3">
        <v>59</v>
      </c>
      <c r="I952" s="3">
        <v>272</v>
      </c>
      <c r="J952" s="3">
        <v>47</v>
      </c>
      <c r="K952" t="s">
        <v>20</v>
      </c>
      <c r="L952" s="2">
        <f t="shared" si="42"/>
        <v>0.55000000000000004</v>
      </c>
      <c r="M952" s="2">
        <f t="shared" si="43"/>
        <v>63.13</v>
      </c>
      <c r="N952" s="2">
        <f t="shared" si="44"/>
        <v>32.450000000000003</v>
      </c>
    </row>
    <row r="953" spans="1:14">
      <c r="A953" t="s">
        <v>1062</v>
      </c>
      <c r="B953" t="s">
        <v>79</v>
      </c>
      <c r="C953" t="s">
        <v>13</v>
      </c>
      <c r="D953" t="s">
        <v>54</v>
      </c>
      <c r="E953" s="2">
        <v>27.24</v>
      </c>
      <c r="F953" s="2">
        <v>52.15</v>
      </c>
      <c r="G953" s="3">
        <v>53</v>
      </c>
      <c r="H953" s="3">
        <v>19</v>
      </c>
      <c r="I953" s="3">
        <v>34</v>
      </c>
      <c r="J953" s="3">
        <v>8</v>
      </c>
      <c r="K953" t="s">
        <v>20</v>
      </c>
      <c r="L953" s="2">
        <f t="shared" si="42"/>
        <v>24.91</v>
      </c>
      <c r="M953" s="2">
        <f t="shared" si="43"/>
        <v>990.85</v>
      </c>
      <c r="N953" s="2">
        <f t="shared" si="44"/>
        <v>473.29</v>
      </c>
    </row>
    <row r="954" spans="1:14">
      <c r="A954" t="s">
        <v>1063</v>
      </c>
      <c r="B954" t="s">
        <v>207</v>
      </c>
      <c r="C954" t="s">
        <v>88</v>
      </c>
      <c r="D954" t="s">
        <v>42</v>
      </c>
      <c r="E954" s="2">
        <v>74.17</v>
      </c>
      <c r="F954" s="2">
        <v>143.83000000000001</v>
      </c>
      <c r="G954" s="3">
        <v>489</v>
      </c>
      <c r="H954" s="3">
        <v>187</v>
      </c>
      <c r="I954" s="3">
        <v>302</v>
      </c>
      <c r="J954" s="3">
        <v>51</v>
      </c>
      <c r="K954" t="s">
        <v>20</v>
      </c>
      <c r="L954" s="2">
        <f t="shared" si="42"/>
        <v>69.660000000000011</v>
      </c>
      <c r="M954" s="2">
        <f t="shared" si="43"/>
        <v>26896.210000000003</v>
      </c>
      <c r="N954" s="2">
        <f t="shared" si="44"/>
        <v>13026.420000000002</v>
      </c>
    </row>
    <row r="955" spans="1:14">
      <c r="A955" t="s">
        <v>1064</v>
      </c>
      <c r="B955" t="s">
        <v>227</v>
      </c>
      <c r="C955" t="s">
        <v>27</v>
      </c>
      <c r="D955" t="s">
        <v>48</v>
      </c>
      <c r="E955" s="2">
        <v>12.12</v>
      </c>
      <c r="F955" s="2">
        <v>24.34</v>
      </c>
      <c r="G955" s="3">
        <v>293</v>
      </c>
      <c r="H955" s="3">
        <v>231</v>
      </c>
      <c r="I955" s="3">
        <v>62</v>
      </c>
      <c r="J955" s="3">
        <v>45</v>
      </c>
      <c r="K955" t="s">
        <v>20</v>
      </c>
      <c r="L955" s="2">
        <f t="shared" si="42"/>
        <v>12.22</v>
      </c>
      <c r="M955" s="2">
        <f t="shared" si="43"/>
        <v>5622.54</v>
      </c>
      <c r="N955" s="2">
        <f t="shared" si="44"/>
        <v>2822.82</v>
      </c>
    </row>
    <row r="956" spans="1:14">
      <c r="A956" t="s">
        <v>1065</v>
      </c>
      <c r="B956" t="s">
        <v>216</v>
      </c>
      <c r="C956" t="s">
        <v>23</v>
      </c>
      <c r="D956" t="s">
        <v>54</v>
      </c>
      <c r="E956" s="2">
        <v>20.170000000000002</v>
      </c>
      <c r="F956" s="2">
        <v>41.49</v>
      </c>
      <c r="G956" s="3">
        <v>231</v>
      </c>
      <c r="H956" s="3">
        <v>155</v>
      </c>
      <c r="I956" s="3">
        <v>76</v>
      </c>
      <c r="J956" s="3">
        <v>40</v>
      </c>
      <c r="K956" t="s">
        <v>20</v>
      </c>
      <c r="L956" s="2">
        <f t="shared" si="42"/>
        <v>21.32</v>
      </c>
      <c r="M956" s="2">
        <f t="shared" si="43"/>
        <v>6430.9500000000007</v>
      </c>
      <c r="N956" s="2">
        <f t="shared" si="44"/>
        <v>3304.6</v>
      </c>
    </row>
    <row r="957" spans="1:14">
      <c r="A957" t="s">
        <v>1066</v>
      </c>
      <c r="B957" t="s">
        <v>272</v>
      </c>
      <c r="C957" t="s">
        <v>47</v>
      </c>
      <c r="D957" t="s">
        <v>54</v>
      </c>
      <c r="E957" s="2">
        <v>10.050000000000001</v>
      </c>
      <c r="F957" s="2">
        <v>14.57</v>
      </c>
      <c r="G957" s="3">
        <v>197</v>
      </c>
      <c r="H957" s="3">
        <v>74</v>
      </c>
      <c r="I957" s="3">
        <v>123</v>
      </c>
      <c r="J957" s="3">
        <v>43</v>
      </c>
      <c r="K957" t="s">
        <v>20</v>
      </c>
      <c r="L957" s="2">
        <f t="shared" si="42"/>
        <v>4.5199999999999996</v>
      </c>
      <c r="M957" s="2">
        <f t="shared" si="43"/>
        <v>1078.18</v>
      </c>
      <c r="N957" s="2">
        <f t="shared" si="44"/>
        <v>334.47999999999996</v>
      </c>
    </row>
    <row r="958" spans="1:14">
      <c r="A958" t="s">
        <v>1067</v>
      </c>
      <c r="B958" t="s">
        <v>259</v>
      </c>
      <c r="C958" t="s">
        <v>53</v>
      </c>
      <c r="D958" t="s">
        <v>39</v>
      </c>
      <c r="E958" s="2">
        <v>31.3</v>
      </c>
      <c r="F958" s="2">
        <v>41.23</v>
      </c>
      <c r="G958" s="3">
        <v>97</v>
      </c>
      <c r="H958" s="3">
        <v>61</v>
      </c>
      <c r="I958" s="3">
        <v>36</v>
      </c>
      <c r="J958" s="3">
        <v>23</v>
      </c>
      <c r="K958" t="s">
        <v>20</v>
      </c>
      <c r="L958" s="2">
        <f t="shared" si="42"/>
        <v>9.9299999999999962</v>
      </c>
      <c r="M958" s="2">
        <f t="shared" si="43"/>
        <v>2515.0299999999997</v>
      </c>
      <c r="N958" s="2">
        <f t="shared" si="44"/>
        <v>605.72999999999979</v>
      </c>
    </row>
    <row r="959" spans="1:14">
      <c r="A959" t="s">
        <v>1068</v>
      </c>
      <c r="B959" t="s">
        <v>110</v>
      </c>
      <c r="C959" t="s">
        <v>27</v>
      </c>
      <c r="D959" t="s">
        <v>100</v>
      </c>
      <c r="E959" s="2">
        <v>24.57</v>
      </c>
      <c r="F959" s="2">
        <v>43.9</v>
      </c>
      <c r="G959" s="3">
        <v>289</v>
      </c>
      <c r="H959" s="3">
        <v>206</v>
      </c>
      <c r="I959" s="3">
        <v>83</v>
      </c>
      <c r="J959" s="3">
        <v>42</v>
      </c>
      <c r="K959" t="s">
        <v>20</v>
      </c>
      <c r="L959" s="2">
        <f t="shared" si="42"/>
        <v>19.329999999999998</v>
      </c>
      <c r="M959" s="2">
        <f t="shared" si="43"/>
        <v>9043.4</v>
      </c>
      <c r="N959" s="2">
        <f t="shared" si="44"/>
        <v>3981.9799999999996</v>
      </c>
    </row>
    <row r="960" spans="1:14">
      <c r="A960" t="s">
        <v>1069</v>
      </c>
      <c r="B960" t="s">
        <v>246</v>
      </c>
      <c r="C960" t="s">
        <v>33</v>
      </c>
      <c r="D960" t="s">
        <v>39</v>
      </c>
      <c r="E960" s="2">
        <v>2.67</v>
      </c>
      <c r="F960" s="2">
        <v>5.83</v>
      </c>
      <c r="G960" s="3">
        <v>124</v>
      </c>
      <c r="H960" s="3">
        <v>77</v>
      </c>
      <c r="I960" s="3">
        <v>47</v>
      </c>
      <c r="J960" s="3">
        <v>12</v>
      </c>
      <c r="K960" t="s">
        <v>20</v>
      </c>
      <c r="L960" s="2">
        <f t="shared" si="42"/>
        <v>3.16</v>
      </c>
      <c r="M960" s="2">
        <f t="shared" si="43"/>
        <v>448.91</v>
      </c>
      <c r="N960" s="2">
        <f t="shared" si="44"/>
        <v>243.32000000000002</v>
      </c>
    </row>
    <row r="961" spans="1:14">
      <c r="A961" t="s">
        <v>1070</v>
      </c>
      <c r="B961" t="s">
        <v>179</v>
      </c>
      <c r="C961" t="s">
        <v>53</v>
      </c>
      <c r="D961" t="s">
        <v>19</v>
      </c>
      <c r="E961" s="2">
        <v>30.03</v>
      </c>
      <c r="F961" s="2">
        <v>45.62</v>
      </c>
      <c r="G961" s="3">
        <v>367</v>
      </c>
      <c r="H961" s="3">
        <v>244</v>
      </c>
      <c r="I961" s="3">
        <v>123</v>
      </c>
      <c r="J961" s="3">
        <v>66</v>
      </c>
      <c r="K961" t="s">
        <v>20</v>
      </c>
      <c r="L961" s="2">
        <f t="shared" si="42"/>
        <v>15.589999999999996</v>
      </c>
      <c r="M961" s="2">
        <f t="shared" si="43"/>
        <v>11131.279999999999</v>
      </c>
      <c r="N961" s="2">
        <f t="shared" si="44"/>
        <v>3803.9599999999991</v>
      </c>
    </row>
    <row r="962" spans="1:14">
      <c r="A962" t="s">
        <v>1071</v>
      </c>
      <c r="B962" t="s">
        <v>44</v>
      </c>
      <c r="C962" t="s">
        <v>13</v>
      </c>
      <c r="D962" t="s">
        <v>14</v>
      </c>
      <c r="E962" s="2">
        <v>26.83</v>
      </c>
      <c r="F962" s="2">
        <v>52.63</v>
      </c>
      <c r="G962" s="3">
        <v>358</v>
      </c>
      <c r="H962" s="3">
        <v>269</v>
      </c>
      <c r="I962" s="3">
        <v>89</v>
      </c>
      <c r="J962" s="3">
        <v>36</v>
      </c>
      <c r="K962" t="s">
        <v>20</v>
      </c>
      <c r="L962" s="2">
        <f t="shared" si="42"/>
        <v>25.800000000000004</v>
      </c>
      <c r="M962" s="2">
        <f t="shared" si="43"/>
        <v>14157.470000000001</v>
      </c>
      <c r="N962" s="2">
        <f t="shared" si="44"/>
        <v>6940.2000000000007</v>
      </c>
    </row>
    <row r="963" spans="1:14">
      <c r="A963" t="s">
        <v>1072</v>
      </c>
      <c r="B963" t="s">
        <v>248</v>
      </c>
      <c r="C963" t="s">
        <v>27</v>
      </c>
      <c r="D963" t="s">
        <v>14</v>
      </c>
      <c r="E963" s="2">
        <v>7.49</v>
      </c>
      <c r="F963" s="2">
        <v>13.35</v>
      </c>
      <c r="G963" s="3">
        <v>491</v>
      </c>
      <c r="H963" s="3">
        <v>237</v>
      </c>
      <c r="I963" s="3">
        <v>254</v>
      </c>
      <c r="J963" s="3">
        <v>103</v>
      </c>
      <c r="K963" t="s">
        <v>20</v>
      </c>
      <c r="L963" s="2">
        <f t="shared" ref="L963:L1001" si="45">F963-E963</f>
        <v>5.8599999999999994</v>
      </c>
      <c r="M963" s="2">
        <f t="shared" ref="M963:M1001" si="46">H963*F963</f>
        <v>3163.95</v>
      </c>
      <c r="N963" s="2">
        <f t="shared" ref="N963:N1001" si="47">H963*L963</f>
        <v>1388.82</v>
      </c>
    </row>
    <row r="964" spans="1:14">
      <c r="A964" t="s">
        <v>1073</v>
      </c>
      <c r="B964" t="s">
        <v>32</v>
      </c>
      <c r="C964" t="s">
        <v>33</v>
      </c>
      <c r="D964" t="s">
        <v>100</v>
      </c>
      <c r="E964" s="2">
        <v>3.31</v>
      </c>
      <c r="F964" s="2">
        <v>6.9</v>
      </c>
      <c r="G964" s="3">
        <v>401</v>
      </c>
      <c r="H964" s="3">
        <v>289</v>
      </c>
      <c r="I964" s="3">
        <v>112</v>
      </c>
      <c r="J964" s="3">
        <v>82</v>
      </c>
      <c r="K964" t="s">
        <v>20</v>
      </c>
      <c r="L964" s="2">
        <f t="shared" si="45"/>
        <v>3.5900000000000003</v>
      </c>
      <c r="M964" s="2">
        <f t="shared" si="46"/>
        <v>1994.1000000000001</v>
      </c>
      <c r="N964" s="2">
        <f t="shared" si="47"/>
        <v>1037.51</v>
      </c>
    </row>
    <row r="965" spans="1:14">
      <c r="A965" t="s">
        <v>1074</v>
      </c>
      <c r="B965" t="s">
        <v>30</v>
      </c>
      <c r="C965" t="s">
        <v>13</v>
      </c>
      <c r="D965" t="s">
        <v>42</v>
      </c>
      <c r="E965" s="2">
        <v>10.82</v>
      </c>
      <c r="F965" s="2">
        <v>22.98</v>
      </c>
      <c r="G965" s="3">
        <v>57</v>
      </c>
      <c r="H965" s="3">
        <v>44</v>
      </c>
      <c r="I965" s="3">
        <v>13</v>
      </c>
      <c r="J965" s="3">
        <v>8</v>
      </c>
      <c r="K965" t="s">
        <v>20</v>
      </c>
      <c r="L965" s="2">
        <f t="shared" si="45"/>
        <v>12.16</v>
      </c>
      <c r="M965" s="2">
        <f t="shared" si="46"/>
        <v>1011.12</v>
      </c>
      <c r="N965" s="2">
        <f t="shared" si="47"/>
        <v>535.04</v>
      </c>
    </row>
    <row r="966" spans="1:14">
      <c r="A966" t="s">
        <v>1075</v>
      </c>
      <c r="B966" t="s">
        <v>156</v>
      </c>
      <c r="C966" t="s">
        <v>47</v>
      </c>
      <c r="D966" t="s">
        <v>28</v>
      </c>
      <c r="E966" s="2">
        <v>10.09</v>
      </c>
      <c r="F966" s="2">
        <v>21.09</v>
      </c>
      <c r="G966" s="3">
        <v>407</v>
      </c>
      <c r="H966" s="3">
        <v>218</v>
      </c>
      <c r="I966" s="3">
        <v>189</v>
      </c>
      <c r="J966" s="3">
        <v>87</v>
      </c>
      <c r="K966" t="s">
        <v>20</v>
      </c>
      <c r="L966" s="2">
        <f t="shared" si="45"/>
        <v>11</v>
      </c>
      <c r="M966" s="2">
        <f t="shared" si="46"/>
        <v>4597.62</v>
      </c>
      <c r="N966" s="2">
        <f t="shared" si="47"/>
        <v>2398</v>
      </c>
    </row>
    <row r="967" spans="1:14">
      <c r="A967" t="s">
        <v>1076</v>
      </c>
      <c r="B967" t="s">
        <v>17</v>
      </c>
      <c r="C967" t="s">
        <v>18</v>
      </c>
      <c r="D967" t="s">
        <v>19</v>
      </c>
      <c r="E967" s="2">
        <v>18.16</v>
      </c>
      <c r="F967" s="2">
        <v>30.72</v>
      </c>
      <c r="G967" s="3">
        <v>219</v>
      </c>
      <c r="H967" s="3">
        <v>151</v>
      </c>
      <c r="I967" s="3">
        <v>68</v>
      </c>
      <c r="J967" s="3">
        <v>30</v>
      </c>
      <c r="K967" t="s">
        <v>20</v>
      </c>
      <c r="L967" s="2">
        <f t="shared" si="45"/>
        <v>12.559999999999999</v>
      </c>
      <c r="M967" s="2">
        <f t="shared" si="46"/>
        <v>4638.72</v>
      </c>
      <c r="N967" s="2">
        <f t="shared" si="47"/>
        <v>1896.5599999999997</v>
      </c>
    </row>
    <row r="968" spans="1:14">
      <c r="A968" t="s">
        <v>1077</v>
      </c>
      <c r="B968" t="s">
        <v>81</v>
      </c>
      <c r="C968" t="s">
        <v>47</v>
      </c>
      <c r="D968" t="s">
        <v>77</v>
      </c>
      <c r="E968" s="2">
        <v>11.51</v>
      </c>
      <c r="F968" s="2">
        <v>19.61</v>
      </c>
      <c r="G968" s="3">
        <v>143</v>
      </c>
      <c r="H968" s="3">
        <v>46</v>
      </c>
      <c r="I968" s="3">
        <v>97</v>
      </c>
      <c r="J968" s="3">
        <v>21</v>
      </c>
      <c r="K968" t="s">
        <v>20</v>
      </c>
      <c r="L968" s="2">
        <f t="shared" si="45"/>
        <v>8.1</v>
      </c>
      <c r="M968" s="2">
        <f t="shared" si="46"/>
        <v>902.06</v>
      </c>
      <c r="N968" s="2">
        <f t="shared" si="47"/>
        <v>372.59999999999997</v>
      </c>
    </row>
    <row r="969" spans="1:14">
      <c r="A969" t="s">
        <v>1078</v>
      </c>
      <c r="B969" t="s">
        <v>106</v>
      </c>
      <c r="C969" t="s">
        <v>33</v>
      </c>
      <c r="D969" t="s">
        <v>77</v>
      </c>
      <c r="E969" s="2">
        <v>2.0499999999999998</v>
      </c>
      <c r="F969" s="2">
        <v>2.68</v>
      </c>
      <c r="G969" s="3">
        <v>88</v>
      </c>
      <c r="H969" s="3">
        <v>21</v>
      </c>
      <c r="I969" s="3">
        <v>67</v>
      </c>
      <c r="J969" s="3">
        <v>9</v>
      </c>
      <c r="K969" t="s">
        <v>20</v>
      </c>
      <c r="L969" s="2">
        <f t="shared" si="45"/>
        <v>0.63000000000000034</v>
      </c>
      <c r="M969" s="2">
        <f t="shared" si="46"/>
        <v>56.28</v>
      </c>
      <c r="N969" s="2">
        <f t="shared" si="47"/>
        <v>13.230000000000008</v>
      </c>
    </row>
    <row r="970" spans="1:14">
      <c r="A970" t="s">
        <v>1079</v>
      </c>
      <c r="B970" t="s">
        <v>237</v>
      </c>
      <c r="C970" t="s">
        <v>47</v>
      </c>
      <c r="D970" t="s">
        <v>14</v>
      </c>
      <c r="E970" s="2">
        <v>8.65</v>
      </c>
      <c r="F970" s="2">
        <v>17.45</v>
      </c>
      <c r="G970" s="3">
        <v>467</v>
      </c>
      <c r="H970" s="3">
        <v>88</v>
      </c>
      <c r="I970" s="3">
        <v>379</v>
      </c>
      <c r="J970" s="3">
        <v>92</v>
      </c>
      <c r="K970" t="s">
        <v>20</v>
      </c>
      <c r="L970" s="2">
        <f t="shared" si="45"/>
        <v>8.7999999999999989</v>
      </c>
      <c r="M970" s="2">
        <f t="shared" si="46"/>
        <v>1535.6</v>
      </c>
      <c r="N970" s="2">
        <f t="shared" si="47"/>
        <v>774.39999999999986</v>
      </c>
    </row>
    <row r="971" spans="1:14">
      <c r="A971" t="s">
        <v>1080</v>
      </c>
      <c r="B971" t="s">
        <v>167</v>
      </c>
      <c r="C971" t="s">
        <v>88</v>
      </c>
      <c r="D971" t="s">
        <v>48</v>
      </c>
      <c r="E971" s="2">
        <v>65.02</v>
      </c>
      <c r="F971" s="2">
        <v>127.42</v>
      </c>
      <c r="G971" s="3">
        <v>116</v>
      </c>
      <c r="H971" s="3">
        <v>23</v>
      </c>
      <c r="I971" s="3">
        <v>93</v>
      </c>
      <c r="J971" s="3">
        <v>26</v>
      </c>
      <c r="K971" t="s">
        <v>20</v>
      </c>
      <c r="L971" s="2">
        <f t="shared" si="45"/>
        <v>62.400000000000006</v>
      </c>
      <c r="M971" s="2">
        <f t="shared" si="46"/>
        <v>2930.66</v>
      </c>
      <c r="N971" s="2">
        <f t="shared" si="47"/>
        <v>1435.2</v>
      </c>
    </row>
    <row r="972" spans="1:14">
      <c r="A972" t="s">
        <v>1081</v>
      </c>
      <c r="B972" t="s">
        <v>179</v>
      </c>
      <c r="C972" t="s">
        <v>53</v>
      </c>
      <c r="D972" t="s">
        <v>48</v>
      </c>
      <c r="E972" s="2">
        <v>11.13</v>
      </c>
      <c r="F972" s="2">
        <v>24.2</v>
      </c>
      <c r="G972" s="3">
        <v>475</v>
      </c>
      <c r="H972" s="3">
        <v>422</v>
      </c>
      <c r="I972" s="3">
        <v>53</v>
      </c>
      <c r="J972" s="3">
        <v>87</v>
      </c>
      <c r="K972" t="s">
        <v>15</v>
      </c>
      <c r="L972" s="2">
        <f t="shared" si="45"/>
        <v>13.069999999999999</v>
      </c>
      <c r="M972" s="2">
        <f t="shared" si="46"/>
        <v>10212.4</v>
      </c>
      <c r="N972" s="2">
        <f t="shared" si="47"/>
        <v>5515.5399999999991</v>
      </c>
    </row>
    <row r="973" spans="1:14">
      <c r="A973" t="s">
        <v>1082</v>
      </c>
      <c r="B973" t="s">
        <v>90</v>
      </c>
      <c r="C973" t="s">
        <v>88</v>
      </c>
      <c r="D973" t="s">
        <v>54</v>
      </c>
      <c r="E973" s="2">
        <v>28.54</v>
      </c>
      <c r="F973" s="2">
        <v>41.86</v>
      </c>
      <c r="G973" s="3">
        <v>209</v>
      </c>
      <c r="H973" s="3">
        <v>45</v>
      </c>
      <c r="I973" s="3">
        <v>164</v>
      </c>
      <c r="J973" s="3">
        <v>29</v>
      </c>
      <c r="K973" t="s">
        <v>20</v>
      </c>
      <c r="L973" s="2">
        <f t="shared" si="45"/>
        <v>13.32</v>
      </c>
      <c r="M973" s="2">
        <f t="shared" si="46"/>
        <v>1883.7</v>
      </c>
      <c r="N973" s="2">
        <f t="shared" si="47"/>
        <v>599.4</v>
      </c>
    </row>
    <row r="974" spans="1:14">
      <c r="A974" t="s">
        <v>1083</v>
      </c>
      <c r="B974" t="s">
        <v>351</v>
      </c>
      <c r="C974" t="s">
        <v>47</v>
      </c>
      <c r="D974" t="s">
        <v>19</v>
      </c>
      <c r="E974" s="2">
        <v>9.0399999999999991</v>
      </c>
      <c r="F974" s="2">
        <v>13.11</v>
      </c>
      <c r="G974" s="3">
        <v>410</v>
      </c>
      <c r="H974" s="3">
        <v>119</v>
      </c>
      <c r="I974" s="3">
        <v>291</v>
      </c>
      <c r="J974" s="3">
        <v>44</v>
      </c>
      <c r="K974" t="s">
        <v>20</v>
      </c>
      <c r="L974" s="2">
        <f t="shared" si="45"/>
        <v>4.07</v>
      </c>
      <c r="M974" s="2">
        <f t="shared" si="46"/>
        <v>1560.09</v>
      </c>
      <c r="N974" s="2">
        <f t="shared" si="47"/>
        <v>484.33000000000004</v>
      </c>
    </row>
    <row r="975" spans="1:14">
      <c r="A975" t="s">
        <v>1084</v>
      </c>
      <c r="B975" t="s">
        <v>87</v>
      </c>
      <c r="C975" t="s">
        <v>88</v>
      </c>
      <c r="D975" t="s">
        <v>54</v>
      </c>
      <c r="E975" s="2">
        <v>73.680000000000007</v>
      </c>
      <c r="F975" s="2">
        <v>145.51</v>
      </c>
      <c r="G975" s="3">
        <v>235</v>
      </c>
      <c r="H975" s="3">
        <v>88</v>
      </c>
      <c r="I975" s="3">
        <v>147</v>
      </c>
      <c r="J975" s="3">
        <v>55</v>
      </c>
      <c r="K975" t="s">
        <v>20</v>
      </c>
      <c r="L975" s="2">
        <f t="shared" si="45"/>
        <v>71.829999999999984</v>
      </c>
      <c r="M975" s="2">
        <f t="shared" si="46"/>
        <v>12804.88</v>
      </c>
      <c r="N975" s="2">
        <f t="shared" si="47"/>
        <v>6321.0399999999991</v>
      </c>
    </row>
    <row r="976" spans="1:14">
      <c r="A976" t="s">
        <v>1085</v>
      </c>
      <c r="B976" t="s">
        <v>406</v>
      </c>
      <c r="C976" t="s">
        <v>18</v>
      </c>
      <c r="D976" t="s">
        <v>14</v>
      </c>
      <c r="E976" s="2">
        <v>14.13</v>
      </c>
      <c r="F976" s="2">
        <v>18.79</v>
      </c>
      <c r="G976" s="3">
        <v>253</v>
      </c>
      <c r="H976" s="3">
        <v>215</v>
      </c>
      <c r="I976" s="3">
        <v>38</v>
      </c>
      <c r="J976" s="3">
        <v>59</v>
      </c>
      <c r="K976" t="s">
        <v>15</v>
      </c>
      <c r="L976" s="2">
        <f t="shared" si="45"/>
        <v>4.6599999999999984</v>
      </c>
      <c r="M976" s="2">
        <f t="shared" si="46"/>
        <v>4039.85</v>
      </c>
      <c r="N976" s="2">
        <f t="shared" si="47"/>
        <v>1001.8999999999996</v>
      </c>
    </row>
    <row r="977" spans="1:14">
      <c r="A977" t="s">
        <v>1086</v>
      </c>
      <c r="B977" t="s">
        <v>74</v>
      </c>
      <c r="C977" t="s">
        <v>23</v>
      </c>
      <c r="D977" t="s">
        <v>48</v>
      </c>
      <c r="E977" s="2">
        <v>8.6</v>
      </c>
      <c r="F977" s="2">
        <v>18.34</v>
      </c>
      <c r="G977" s="3">
        <v>56</v>
      </c>
      <c r="H977" s="3">
        <v>8</v>
      </c>
      <c r="I977" s="3">
        <v>48</v>
      </c>
      <c r="J977" s="3">
        <v>12</v>
      </c>
      <c r="K977" t="s">
        <v>20</v>
      </c>
      <c r="L977" s="2">
        <f t="shared" si="45"/>
        <v>9.74</v>
      </c>
      <c r="M977" s="2">
        <f t="shared" si="46"/>
        <v>146.72</v>
      </c>
      <c r="N977" s="2">
        <f t="shared" si="47"/>
        <v>77.92</v>
      </c>
    </row>
    <row r="978" spans="1:14">
      <c r="A978" t="s">
        <v>1087</v>
      </c>
      <c r="B978" t="s">
        <v>94</v>
      </c>
      <c r="C978" t="s">
        <v>33</v>
      </c>
      <c r="D978" t="s">
        <v>54</v>
      </c>
      <c r="E978" s="2">
        <v>5.19</v>
      </c>
      <c r="F978" s="2">
        <v>11.39</v>
      </c>
      <c r="G978" s="3">
        <v>233</v>
      </c>
      <c r="H978" s="3">
        <v>25</v>
      </c>
      <c r="I978" s="3">
        <v>208</v>
      </c>
      <c r="J978" s="3">
        <v>29</v>
      </c>
      <c r="K978" t="s">
        <v>20</v>
      </c>
      <c r="L978" s="2">
        <f t="shared" si="45"/>
        <v>6.2</v>
      </c>
      <c r="M978" s="2">
        <f t="shared" si="46"/>
        <v>284.75</v>
      </c>
      <c r="N978" s="2">
        <f t="shared" si="47"/>
        <v>155</v>
      </c>
    </row>
    <row r="979" spans="1:14">
      <c r="A979" t="s">
        <v>1088</v>
      </c>
      <c r="B979" t="s">
        <v>172</v>
      </c>
      <c r="C979" t="s">
        <v>18</v>
      </c>
      <c r="D979" t="s">
        <v>24</v>
      </c>
      <c r="E979" s="2">
        <v>7.7</v>
      </c>
      <c r="F979" s="2">
        <v>14.41</v>
      </c>
      <c r="G979" s="3">
        <v>37</v>
      </c>
      <c r="H979" s="3">
        <v>31</v>
      </c>
      <c r="I979" s="3">
        <v>6</v>
      </c>
      <c r="J979" s="3">
        <v>4</v>
      </c>
      <c r="K979" t="s">
        <v>20</v>
      </c>
      <c r="L979" s="2">
        <f t="shared" si="45"/>
        <v>6.71</v>
      </c>
      <c r="M979" s="2">
        <f t="shared" si="46"/>
        <v>446.71</v>
      </c>
      <c r="N979" s="2">
        <f t="shared" si="47"/>
        <v>208.01</v>
      </c>
    </row>
    <row r="980" spans="1:14">
      <c r="A980" t="s">
        <v>1089</v>
      </c>
      <c r="B980" t="s">
        <v>237</v>
      </c>
      <c r="C980" t="s">
        <v>47</v>
      </c>
      <c r="D980" t="s">
        <v>100</v>
      </c>
      <c r="E980" s="2">
        <v>12.87</v>
      </c>
      <c r="F980" s="2">
        <v>23.12</v>
      </c>
      <c r="G980" s="3">
        <v>377</v>
      </c>
      <c r="H980" s="3">
        <v>276</v>
      </c>
      <c r="I980" s="3">
        <v>101</v>
      </c>
      <c r="J980" s="3">
        <v>84</v>
      </c>
      <c r="K980" t="s">
        <v>20</v>
      </c>
      <c r="L980" s="2">
        <f t="shared" si="45"/>
        <v>10.250000000000002</v>
      </c>
      <c r="M980" s="2">
        <f t="shared" si="46"/>
        <v>6381.12</v>
      </c>
      <c r="N980" s="2">
        <f t="shared" si="47"/>
        <v>2829.0000000000005</v>
      </c>
    </row>
    <row r="981" spans="1:14">
      <c r="A981" t="s">
        <v>1090</v>
      </c>
      <c r="B981" t="s">
        <v>114</v>
      </c>
      <c r="C981" t="s">
        <v>53</v>
      </c>
      <c r="D981" t="s">
        <v>28</v>
      </c>
      <c r="E981" s="2">
        <v>18.98</v>
      </c>
      <c r="F981" s="2">
        <v>33.950000000000003</v>
      </c>
      <c r="G981" s="3">
        <v>114</v>
      </c>
      <c r="H981" s="3">
        <v>34</v>
      </c>
      <c r="I981" s="3">
        <v>80</v>
      </c>
      <c r="J981" s="3">
        <v>25</v>
      </c>
      <c r="K981" t="s">
        <v>20</v>
      </c>
      <c r="L981" s="2">
        <f t="shared" si="45"/>
        <v>14.970000000000002</v>
      </c>
      <c r="M981" s="2">
        <f t="shared" si="46"/>
        <v>1154.3000000000002</v>
      </c>
      <c r="N981" s="2">
        <f t="shared" si="47"/>
        <v>508.98000000000008</v>
      </c>
    </row>
    <row r="982" spans="1:14">
      <c r="A982" t="s">
        <v>1091</v>
      </c>
      <c r="B982" t="s">
        <v>106</v>
      </c>
      <c r="C982" t="s">
        <v>33</v>
      </c>
      <c r="D982" t="s">
        <v>14</v>
      </c>
      <c r="E982" s="2">
        <v>3.41</v>
      </c>
      <c r="F982" s="2">
        <v>6.3</v>
      </c>
      <c r="G982" s="3">
        <v>62</v>
      </c>
      <c r="H982" s="3">
        <v>9</v>
      </c>
      <c r="I982" s="3">
        <v>53</v>
      </c>
      <c r="J982" s="3">
        <v>7</v>
      </c>
      <c r="K982" t="s">
        <v>20</v>
      </c>
      <c r="L982" s="2">
        <f t="shared" si="45"/>
        <v>2.8899999999999997</v>
      </c>
      <c r="M982" s="2">
        <f t="shared" si="46"/>
        <v>56.699999999999996</v>
      </c>
      <c r="N982" s="2">
        <f t="shared" si="47"/>
        <v>26.009999999999998</v>
      </c>
    </row>
    <row r="983" spans="1:14">
      <c r="A983" t="s">
        <v>1092</v>
      </c>
      <c r="B983" t="s">
        <v>272</v>
      </c>
      <c r="C983" t="s">
        <v>47</v>
      </c>
      <c r="D983" t="s">
        <v>14</v>
      </c>
      <c r="E983" s="2">
        <v>5.76</v>
      </c>
      <c r="F983" s="2">
        <v>9.3800000000000008</v>
      </c>
      <c r="G983" s="3">
        <v>308</v>
      </c>
      <c r="H983" s="3">
        <v>112</v>
      </c>
      <c r="I983" s="3">
        <v>196</v>
      </c>
      <c r="J983" s="3">
        <v>70</v>
      </c>
      <c r="K983" t="s">
        <v>20</v>
      </c>
      <c r="L983" s="2">
        <f t="shared" si="45"/>
        <v>3.620000000000001</v>
      </c>
      <c r="M983" s="2">
        <f t="shared" si="46"/>
        <v>1050.5600000000002</v>
      </c>
      <c r="N983" s="2">
        <f t="shared" si="47"/>
        <v>405.44000000000011</v>
      </c>
    </row>
    <row r="984" spans="1:14">
      <c r="A984" t="s">
        <v>1093</v>
      </c>
      <c r="B984" t="s">
        <v>406</v>
      </c>
      <c r="C984" t="s">
        <v>18</v>
      </c>
      <c r="D984" t="s">
        <v>14</v>
      </c>
      <c r="E984" s="2">
        <v>2.2599999999999998</v>
      </c>
      <c r="F984" s="2">
        <v>4.51</v>
      </c>
      <c r="G984" s="3">
        <v>439</v>
      </c>
      <c r="H984" s="3">
        <v>261</v>
      </c>
      <c r="I984" s="3">
        <v>178</v>
      </c>
      <c r="J984" s="3">
        <v>84</v>
      </c>
      <c r="K984" t="s">
        <v>20</v>
      </c>
      <c r="L984" s="2">
        <f t="shared" si="45"/>
        <v>2.25</v>
      </c>
      <c r="M984" s="2">
        <f t="shared" si="46"/>
        <v>1177.1099999999999</v>
      </c>
      <c r="N984" s="2">
        <f t="shared" si="47"/>
        <v>587.25</v>
      </c>
    </row>
    <row r="985" spans="1:14">
      <c r="A985" t="s">
        <v>1094</v>
      </c>
      <c r="B985" t="s">
        <v>220</v>
      </c>
      <c r="C985" t="s">
        <v>23</v>
      </c>
      <c r="D985" t="s">
        <v>54</v>
      </c>
      <c r="E985" s="2">
        <v>10.71</v>
      </c>
      <c r="F985" s="2">
        <v>15.66</v>
      </c>
      <c r="G985" s="3">
        <v>273</v>
      </c>
      <c r="H985" s="3">
        <v>232</v>
      </c>
      <c r="I985" s="3">
        <v>41</v>
      </c>
      <c r="J985" s="3">
        <v>27</v>
      </c>
      <c r="K985" t="s">
        <v>20</v>
      </c>
      <c r="L985" s="2">
        <f t="shared" si="45"/>
        <v>4.9499999999999993</v>
      </c>
      <c r="M985" s="2">
        <f t="shared" si="46"/>
        <v>3633.12</v>
      </c>
      <c r="N985" s="2">
        <f t="shared" si="47"/>
        <v>1148.3999999999999</v>
      </c>
    </row>
    <row r="986" spans="1:14">
      <c r="A986" t="s">
        <v>1095</v>
      </c>
      <c r="B986" t="s">
        <v>299</v>
      </c>
      <c r="C986" t="s">
        <v>13</v>
      </c>
      <c r="D986" t="s">
        <v>24</v>
      </c>
      <c r="E986" s="2">
        <v>2.66</v>
      </c>
      <c r="F986" s="2">
        <v>5.07</v>
      </c>
      <c r="G986" s="3">
        <v>150</v>
      </c>
      <c r="H986" s="3">
        <v>67</v>
      </c>
      <c r="I986" s="3">
        <v>83</v>
      </c>
      <c r="J986" s="3">
        <v>15</v>
      </c>
      <c r="K986" t="s">
        <v>20</v>
      </c>
      <c r="L986" s="2">
        <f t="shared" si="45"/>
        <v>2.41</v>
      </c>
      <c r="M986" s="2">
        <f t="shared" si="46"/>
        <v>339.69</v>
      </c>
      <c r="N986" s="2">
        <f t="shared" si="47"/>
        <v>161.47</v>
      </c>
    </row>
    <row r="987" spans="1:14">
      <c r="A987" t="s">
        <v>1096</v>
      </c>
      <c r="B987" t="s">
        <v>46</v>
      </c>
      <c r="C987" t="s">
        <v>47</v>
      </c>
      <c r="D987" t="s">
        <v>77</v>
      </c>
      <c r="E987" s="2">
        <v>5.46</v>
      </c>
      <c r="F987" s="2">
        <v>10.76</v>
      </c>
      <c r="G987" s="3">
        <v>285</v>
      </c>
      <c r="H987" s="3">
        <v>48</v>
      </c>
      <c r="I987" s="3">
        <v>237</v>
      </c>
      <c r="J987" s="3">
        <v>47</v>
      </c>
      <c r="K987" t="s">
        <v>20</v>
      </c>
      <c r="L987" s="2">
        <f t="shared" si="45"/>
        <v>5.3</v>
      </c>
      <c r="M987" s="2">
        <f t="shared" si="46"/>
        <v>516.48</v>
      </c>
      <c r="N987" s="2">
        <f t="shared" si="47"/>
        <v>254.39999999999998</v>
      </c>
    </row>
    <row r="988" spans="1:14">
      <c r="A988" t="s">
        <v>1097</v>
      </c>
      <c r="B988" t="s">
        <v>72</v>
      </c>
      <c r="C988" t="s">
        <v>27</v>
      </c>
      <c r="D988" t="s">
        <v>39</v>
      </c>
      <c r="E988" s="2">
        <v>9.4</v>
      </c>
      <c r="F988" s="2">
        <v>14.52</v>
      </c>
      <c r="G988" s="3">
        <v>154</v>
      </c>
      <c r="H988" s="3">
        <v>135</v>
      </c>
      <c r="I988" s="3">
        <v>19</v>
      </c>
      <c r="J988" s="3">
        <v>26</v>
      </c>
      <c r="K988" t="s">
        <v>15</v>
      </c>
      <c r="L988" s="2">
        <f t="shared" si="45"/>
        <v>5.1199999999999992</v>
      </c>
      <c r="M988" s="2">
        <f t="shared" si="46"/>
        <v>1960.2</v>
      </c>
      <c r="N988" s="2">
        <f t="shared" si="47"/>
        <v>691.19999999999993</v>
      </c>
    </row>
    <row r="989" spans="1:14">
      <c r="A989" t="s">
        <v>1098</v>
      </c>
      <c r="B989" t="s">
        <v>22</v>
      </c>
      <c r="C989" t="s">
        <v>23</v>
      </c>
      <c r="D989" t="s">
        <v>77</v>
      </c>
      <c r="E989" s="2">
        <v>20.059999999999999</v>
      </c>
      <c r="F989" s="2">
        <v>40.630000000000003</v>
      </c>
      <c r="G989" s="3">
        <v>313</v>
      </c>
      <c r="H989" s="3">
        <v>89</v>
      </c>
      <c r="I989" s="3">
        <v>224</v>
      </c>
      <c r="J989" s="3">
        <v>43</v>
      </c>
      <c r="K989" t="s">
        <v>20</v>
      </c>
      <c r="L989" s="2">
        <f t="shared" si="45"/>
        <v>20.570000000000004</v>
      </c>
      <c r="M989" s="2">
        <f t="shared" si="46"/>
        <v>3616.07</v>
      </c>
      <c r="N989" s="2">
        <f t="shared" si="47"/>
        <v>1830.7300000000002</v>
      </c>
    </row>
    <row r="990" spans="1:14">
      <c r="A990" t="s">
        <v>1099</v>
      </c>
      <c r="B990" t="s">
        <v>406</v>
      </c>
      <c r="C990" t="s">
        <v>18</v>
      </c>
      <c r="D990" t="s">
        <v>24</v>
      </c>
      <c r="E990" s="2">
        <v>7.78</v>
      </c>
      <c r="F990" s="2">
        <v>11.35</v>
      </c>
      <c r="G990" s="3">
        <v>398</v>
      </c>
      <c r="H990" s="3">
        <v>230</v>
      </c>
      <c r="I990" s="3">
        <v>168</v>
      </c>
      <c r="J990" s="3">
        <v>80</v>
      </c>
      <c r="K990" t="s">
        <v>20</v>
      </c>
      <c r="L990" s="2">
        <f t="shared" si="45"/>
        <v>3.5699999999999994</v>
      </c>
      <c r="M990" s="2">
        <f t="shared" si="46"/>
        <v>2610.5</v>
      </c>
      <c r="N990" s="2">
        <f t="shared" si="47"/>
        <v>821.09999999999991</v>
      </c>
    </row>
    <row r="991" spans="1:14">
      <c r="A991" t="s">
        <v>1100</v>
      </c>
      <c r="B991" t="s">
        <v>156</v>
      </c>
      <c r="C991" t="s">
        <v>47</v>
      </c>
      <c r="D991" t="s">
        <v>39</v>
      </c>
      <c r="E991" s="2">
        <v>12.46</v>
      </c>
      <c r="F991" s="2">
        <v>20.79</v>
      </c>
      <c r="G991" s="3">
        <v>49</v>
      </c>
      <c r="H991" s="3">
        <v>30</v>
      </c>
      <c r="I991" s="3">
        <v>19</v>
      </c>
      <c r="J991" s="3">
        <v>11</v>
      </c>
      <c r="K991" t="s">
        <v>20</v>
      </c>
      <c r="L991" s="2">
        <f t="shared" si="45"/>
        <v>8.3299999999999983</v>
      </c>
      <c r="M991" s="2">
        <f t="shared" si="46"/>
        <v>623.69999999999993</v>
      </c>
      <c r="N991" s="2">
        <f t="shared" si="47"/>
        <v>249.89999999999995</v>
      </c>
    </row>
    <row r="992" spans="1:14">
      <c r="A992" t="s">
        <v>1101</v>
      </c>
      <c r="B992" t="s">
        <v>35</v>
      </c>
      <c r="C992" t="s">
        <v>13</v>
      </c>
      <c r="D992" t="s">
        <v>54</v>
      </c>
      <c r="E992" s="2">
        <v>9.0500000000000007</v>
      </c>
      <c r="F992" s="2">
        <v>19.52</v>
      </c>
      <c r="G992" s="3">
        <v>328</v>
      </c>
      <c r="H992" s="3">
        <v>233</v>
      </c>
      <c r="I992" s="3">
        <v>95</v>
      </c>
      <c r="J992" s="3">
        <v>60</v>
      </c>
      <c r="K992" t="s">
        <v>20</v>
      </c>
      <c r="L992" s="2">
        <f t="shared" si="45"/>
        <v>10.469999999999999</v>
      </c>
      <c r="M992" s="2">
        <f t="shared" si="46"/>
        <v>4548.16</v>
      </c>
      <c r="N992" s="2">
        <f t="shared" si="47"/>
        <v>2439.5099999999998</v>
      </c>
    </row>
    <row r="993" spans="1:14">
      <c r="A993" t="s">
        <v>1102</v>
      </c>
      <c r="B993" t="s">
        <v>69</v>
      </c>
      <c r="C993" t="s">
        <v>23</v>
      </c>
      <c r="D993" t="s">
        <v>28</v>
      </c>
      <c r="E993" s="2">
        <v>13.18</v>
      </c>
      <c r="F993" s="2">
        <v>19.72</v>
      </c>
      <c r="G993" s="3">
        <v>379</v>
      </c>
      <c r="H993" s="3">
        <v>161</v>
      </c>
      <c r="I993" s="3">
        <v>218</v>
      </c>
      <c r="J993" s="3">
        <v>39</v>
      </c>
      <c r="K993" t="s">
        <v>20</v>
      </c>
      <c r="L993" s="2">
        <f t="shared" si="45"/>
        <v>6.5399999999999991</v>
      </c>
      <c r="M993" s="2">
        <f t="shared" si="46"/>
        <v>3174.9199999999996</v>
      </c>
      <c r="N993" s="2">
        <f t="shared" si="47"/>
        <v>1052.9399999999998</v>
      </c>
    </row>
    <row r="994" spans="1:14">
      <c r="A994" t="s">
        <v>1103</v>
      </c>
      <c r="B994" t="s">
        <v>72</v>
      </c>
      <c r="C994" t="s">
        <v>27</v>
      </c>
      <c r="D994" t="s">
        <v>24</v>
      </c>
      <c r="E994" s="2">
        <v>11.68</v>
      </c>
      <c r="F994" s="2">
        <v>19.760000000000002</v>
      </c>
      <c r="G994" s="3">
        <v>355</v>
      </c>
      <c r="H994" s="3">
        <v>176</v>
      </c>
      <c r="I994" s="3">
        <v>179</v>
      </c>
      <c r="J994" s="3">
        <v>83</v>
      </c>
      <c r="K994" t="s">
        <v>20</v>
      </c>
      <c r="L994" s="2">
        <f t="shared" si="45"/>
        <v>8.0800000000000018</v>
      </c>
      <c r="M994" s="2">
        <f t="shared" si="46"/>
        <v>3477.76</v>
      </c>
      <c r="N994" s="2">
        <f t="shared" si="47"/>
        <v>1422.0800000000004</v>
      </c>
    </row>
    <row r="995" spans="1:14">
      <c r="A995" t="s">
        <v>1104</v>
      </c>
      <c r="B995" t="s">
        <v>387</v>
      </c>
      <c r="C995" t="s">
        <v>88</v>
      </c>
      <c r="D995" t="s">
        <v>14</v>
      </c>
      <c r="E995" s="2">
        <v>40.42</v>
      </c>
      <c r="F995" s="2">
        <v>82.35</v>
      </c>
      <c r="G995" s="3">
        <v>51</v>
      </c>
      <c r="H995" s="3">
        <v>17</v>
      </c>
      <c r="I995" s="3">
        <v>34</v>
      </c>
      <c r="J995" s="3">
        <v>10</v>
      </c>
      <c r="K995" t="s">
        <v>20</v>
      </c>
      <c r="L995" s="2">
        <f t="shared" si="45"/>
        <v>41.929999999999993</v>
      </c>
      <c r="M995" s="2">
        <f t="shared" si="46"/>
        <v>1399.9499999999998</v>
      </c>
      <c r="N995" s="2">
        <f t="shared" si="47"/>
        <v>712.80999999999983</v>
      </c>
    </row>
    <row r="996" spans="1:14">
      <c r="A996" t="s">
        <v>1105</v>
      </c>
      <c r="B996" t="s">
        <v>52</v>
      </c>
      <c r="C996" t="s">
        <v>53</v>
      </c>
      <c r="D996" t="s">
        <v>77</v>
      </c>
      <c r="E996" s="2">
        <v>8.01</v>
      </c>
      <c r="F996" s="2">
        <v>10.74</v>
      </c>
      <c r="G996" s="3">
        <v>451</v>
      </c>
      <c r="H996" s="3">
        <v>206</v>
      </c>
      <c r="I996" s="3">
        <v>245</v>
      </c>
      <c r="J996" s="3">
        <v>101</v>
      </c>
      <c r="K996" t="s">
        <v>20</v>
      </c>
      <c r="L996" s="2">
        <f t="shared" si="45"/>
        <v>2.7300000000000004</v>
      </c>
      <c r="M996" s="2">
        <f t="shared" si="46"/>
        <v>2212.44</v>
      </c>
      <c r="N996" s="2">
        <f t="shared" si="47"/>
        <v>562.38000000000011</v>
      </c>
    </row>
    <row r="997" spans="1:14">
      <c r="A997" t="s">
        <v>1106</v>
      </c>
      <c r="B997" t="s">
        <v>85</v>
      </c>
      <c r="C997" t="s">
        <v>27</v>
      </c>
      <c r="D997" t="s">
        <v>39</v>
      </c>
      <c r="E997" s="2">
        <v>14.4</v>
      </c>
      <c r="F997" s="2">
        <v>19.260000000000002</v>
      </c>
      <c r="G997" s="3">
        <v>25</v>
      </c>
      <c r="H997" s="3">
        <v>12</v>
      </c>
      <c r="I997" s="3">
        <v>13</v>
      </c>
      <c r="J997" s="3">
        <v>2</v>
      </c>
      <c r="K997" t="s">
        <v>20</v>
      </c>
      <c r="L997" s="2">
        <f t="shared" si="45"/>
        <v>4.8600000000000012</v>
      </c>
      <c r="M997" s="2">
        <f t="shared" si="46"/>
        <v>231.12</v>
      </c>
      <c r="N997" s="2">
        <f t="shared" si="47"/>
        <v>58.320000000000014</v>
      </c>
    </row>
    <row r="998" spans="1:14">
      <c r="A998" t="s">
        <v>1107</v>
      </c>
      <c r="B998" t="s">
        <v>62</v>
      </c>
      <c r="C998" t="s">
        <v>13</v>
      </c>
      <c r="D998" t="s">
        <v>54</v>
      </c>
      <c r="E998" s="2">
        <v>3.64</v>
      </c>
      <c r="F998" s="2">
        <v>5.04</v>
      </c>
      <c r="G998" s="3">
        <v>175</v>
      </c>
      <c r="H998" s="3">
        <v>96</v>
      </c>
      <c r="I998" s="3">
        <v>79</v>
      </c>
      <c r="J998" s="3">
        <v>28</v>
      </c>
      <c r="K998" t="s">
        <v>20</v>
      </c>
      <c r="L998" s="2">
        <f t="shared" si="45"/>
        <v>1.4</v>
      </c>
      <c r="M998" s="2">
        <f t="shared" si="46"/>
        <v>483.84000000000003</v>
      </c>
      <c r="N998" s="2">
        <f t="shared" si="47"/>
        <v>134.39999999999998</v>
      </c>
    </row>
    <row r="999" spans="1:14">
      <c r="A999" t="s">
        <v>1108</v>
      </c>
      <c r="B999" t="s">
        <v>144</v>
      </c>
      <c r="C999" t="s">
        <v>88</v>
      </c>
      <c r="D999" t="s">
        <v>14</v>
      </c>
      <c r="E999" s="2">
        <v>13.85</v>
      </c>
      <c r="F999" s="2">
        <v>21.3</v>
      </c>
      <c r="G999" s="3">
        <v>147</v>
      </c>
      <c r="H999" s="3">
        <v>66</v>
      </c>
      <c r="I999" s="3">
        <v>81</v>
      </c>
      <c r="J999" s="3">
        <v>21</v>
      </c>
      <c r="K999" t="s">
        <v>20</v>
      </c>
      <c r="L999" s="2">
        <f t="shared" si="45"/>
        <v>7.4500000000000011</v>
      </c>
      <c r="M999" s="2">
        <f t="shared" si="46"/>
        <v>1405.8</v>
      </c>
      <c r="N999" s="2">
        <f t="shared" si="47"/>
        <v>491.70000000000005</v>
      </c>
    </row>
    <row r="1000" spans="1:14">
      <c r="A1000" t="s">
        <v>1109</v>
      </c>
      <c r="B1000" t="s">
        <v>406</v>
      </c>
      <c r="C1000" t="s">
        <v>18</v>
      </c>
      <c r="D1000" t="s">
        <v>28</v>
      </c>
      <c r="E1000" s="2">
        <v>17.47</v>
      </c>
      <c r="F1000" s="2">
        <v>24.42</v>
      </c>
      <c r="G1000" s="3">
        <v>144</v>
      </c>
      <c r="H1000" s="3">
        <v>124</v>
      </c>
      <c r="I1000" s="3">
        <v>20</v>
      </c>
      <c r="J1000" s="3">
        <v>18</v>
      </c>
      <c r="K1000" t="s">
        <v>20</v>
      </c>
      <c r="L1000" s="2">
        <f t="shared" si="45"/>
        <v>6.9500000000000028</v>
      </c>
      <c r="M1000" s="2">
        <f t="shared" si="46"/>
        <v>3028.0800000000004</v>
      </c>
      <c r="N1000" s="2">
        <f t="shared" si="47"/>
        <v>861.80000000000041</v>
      </c>
    </row>
    <row r="1001" spans="1:14">
      <c r="A1001" t="s">
        <v>1110</v>
      </c>
      <c r="B1001" t="s">
        <v>153</v>
      </c>
      <c r="C1001" t="s">
        <v>27</v>
      </c>
      <c r="D1001" t="s">
        <v>100</v>
      </c>
      <c r="E1001" s="2">
        <v>2.58</v>
      </c>
      <c r="F1001" s="2">
        <v>5.05</v>
      </c>
      <c r="G1001" s="3">
        <v>134</v>
      </c>
      <c r="H1001" s="3">
        <v>78</v>
      </c>
      <c r="I1001" s="3">
        <v>56</v>
      </c>
      <c r="J1001" s="3">
        <v>24</v>
      </c>
      <c r="K1001" t="s">
        <v>20</v>
      </c>
      <c r="L1001" s="2">
        <f t="shared" si="45"/>
        <v>2.4699999999999998</v>
      </c>
      <c r="M1001" s="2">
        <f t="shared" si="46"/>
        <v>393.9</v>
      </c>
      <c r="N1001" s="2">
        <f t="shared" si="47"/>
        <v>192.65999999999997</v>
      </c>
    </row>
  </sheetData>
  <autoFilter ref="A1:K1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highest units sold</vt:lpstr>
      <vt:lpstr>category with highest revenue</vt:lpstr>
      <vt:lpstr>products with hight profit</vt:lpstr>
      <vt:lpstr>category most profitable</vt:lpstr>
      <vt:lpstr>products with low closing stock</vt:lpstr>
      <vt:lpstr>high sales but low stock</vt:lpstr>
      <vt:lpstr>category with great inventory l</vt:lpstr>
      <vt:lpstr>supplier with most products</vt:lpstr>
      <vt:lpstr>dashboard</vt:lpstr>
      <vt:lpstr>Retail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Windows User</cp:lastModifiedBy>
  <dcterms:created xsi:type="dcterms:W3CDTF">2026-03-11T02:30:31Z</dcterms:created>
  <dcterms:modified xsi:type="dcterms:W3CDTF">2026-09-30T22:30:40Z</dcterms:modified>
</cp:coreProperties>
</file>